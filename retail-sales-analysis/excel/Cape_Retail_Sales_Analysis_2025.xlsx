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C:\Users\mynha\Downloads\"/>
    </mc:Choice>
  </mc:AlternateContent>
  <xr:revisionPtr revIDLastSave="0" documentId="13_ncr:1_{0B9EBBD2-55C4-42D7-BB3A-C55E4DDBF1DD}" xr6:coauthVersionLast="47" xr6:coauthVersionMax="47" xr10:uidLastSave="{00000000-0000-0000-0000-000000000000}"/>
  <bookViews>
    <workbookView xWindow="-120" yWindow="-120" windowWidth="20730" windowHeight="11160" activeTab="3" xr2:uid="{00000000-000D-0000-FFFF-FFFF00000000}"/>
  </bookViews>
  <sheets>
    <sheet name="Raw Sales Data" sheetId="1" r:id="rId1"/>
    <sheet name="Cleaned Sales Data" sheetId="3" r:id="rId2"/>
    <sheet name="Cleaning Log" sheetId="2" r:id="rId3"/>
    <sheet name="Sales Analysis" sheetId="4" r:id="rId4"/>
    <sheet name="Key Findings" sheetId="6" r:id="rId5"/>
  </sheets>
  <definedNames>
    <definedName name="_xlnm._FilterDatabase" localSheetId="1" hidden="1">'Cleaned Sales Data'!$E$1:$E$241</definedName>
    <definedName name="_xlnm._FilterDatabase" localSheetId="0" hidden="1">'Raw Sales Data'!$E$1:$E$241</definedName>
  </definedNames>
  <calcPr calcId="191029"/>
  <pivotCaches>
    <pivotCache cacheId="37" r:id="rId6"/>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 i="4" l="1"/>
  <c r="F5" i="4"/>
  <c r="D5" i="4"/>
  <c r="J2" i="3"/>
  <c r="J3" i="3"/>
  <c r="J4" i="3"/>
  <c r="J5" i="3"/>
  <c r="J6" i="3"/>
  <c r="J7" i="3"/>
  <c r="J8" i="3"/>
  <c r="J9" i="3"/>
  <c r="J10" i="3"/>
  <c r="J11" i="3"/>
  <c r="J12" i="3"/>
  <c r="J13" i="3"/>
  <c r="J14" i="3"/>
  <c r="J15" i="3"/>
  <c r="J16" i="3"/>
  <c r="J17" i="3"/>
  <c r="J18" i="3"/>
  <c r="J19" i="3"/>
  <c r="J20" i="3"/>
  <c r="J21" i="3"/>
  <c r="J22" i="3"/>
  <c r="J23" i="3"/>
  <c r="J24" i="3"/>
  <c r="J25" i="3"/>
  <c r="J26" i="3"/>
  <c r="J27" i="3"/>
  <c r="J28" i="3"/>
  <c r="J29" i="3"/>
  <c r="J30" i="3"/>
  <c r="J31" i="3"/>
  <c r="J32" i="3"/>
  <c r="J33" i="3"/>
  <c r="J34" i="3"/>
  <c r="J35" i="3"/>
  <c r="J36" i="3"/>
  <c r="J37" i="3"/>
  <c r="J38" i="3"/>
  <c r="J39" i="3"/>
  <c r="J40" i="3"/>
  <c r="J41" i="3"/>
  <c r="J42" i="3"/>
  <c r="J43" i="3"/>
  <c r="J44" i="3"/>
  <c r="J45" i="3"/>
  <c r="J46" i="3"/>
  <c r="J47" i="3"/>
  <c r="J48" i="3"/>
  <c r="J49" i="3"/>
  <c r="J50" i="3"/>
  <c r="J51" i="3"/>
  <c r="J52" i="3"/>
  <c r="J53" i="3"/>
  <c r="J54" i="3"/>
  <c r="J55" i="3"/>
  <c r="J56" i="3"/>
  <c r="J57" i="3"/>
  <c r="J58" i="3"/>
  <c r="J59" i="3"/>
  <c r="J60" i="3"/>
  <c r="J61" i="3"/>
  <c r="J62" i="3"/>
  <c r="J63" i="3"/>
  <c r="J64" i="3"/>
  <c r="J65" i="3"/>
  <c r="J66" i="3"/>
  <c r="J67" i="3"/>
  <c r="J68" i="3"/>
  <c r="J69" i="3"/>
  <c r="J70" i="3"/>
  <c r="J71" i="3"/>
  <c r="J72" i="3"/>
  <c r="J73" i="3"/>
  <c r="J74" i="3"/>
  <c r="J75" i="3"/>
  <c r="J76" i="3"/>
  <c r="J77" i="3"/>
  <c r="J78" i="3"/>
  <c r="J79" i="3"/>
  <c r="J80" i="3"/>
  <c r="J81" i="3"/>
  <c r="J82" i="3"/>
  <c r="J83" i="3"/>
  <c r="J84" i="3"/>
  <c r="J85" i="3"/>
  <c r="J86" i="3"/>
  <c r="J87" i="3"/>
  <c r="J88" i="3"/>
  <c r="J89" i="3"/>
  <c r="J90" i="3"/>
  <c r="J91" i="3"/>
  <c r="J92" i="3"/>
  <c r="J93" i="3"/>
  <c r="J94" i="3"/>
  <c r="J95" i="3"/>
  <c r="J96" i="3"/>
  <c r="J97" i="3"/>
  <c r="J98" i="3"/>
  <c r="J99" i="3"/>
  <c r="J100" i="3"/>
  <c r="J101" i="3"/>
  <c r="J102" i="3"/>
  <c r="J103" i="3"/>
  <c r="J104" i="3"/>
  <c r="J105" i="3"/>
  <c r="J106" i="3"/>
  <c r="J107" i="3"/>
  <c r="J108" i="3"/>
  <c r="J109" i="3"/>
  <c r="J110" i="3"/>
  <c r="J111" i="3"/>
  <c r="J112" i="3"/>
  <c r="J113" i="3"/>
  <c r="J114" i="3"/>
  <c r="J115" i="3"/>
  <c r="J116" i="3"/>
  <c r="J117" i="3"/>
  <c r="J118" i="3"/>
  <c r="J119" i="3"/>
  <c r="J120" i="3"/>
  <c r="J121" i="3"/>
  <c r="J122" i="3"/>
  <c r="J123" i="3"/>
  <c r="J124" i="3"/>
  <c r="J125" i="3"/>
  <c r="J126" i="3"/>
  <c r="J127" i="3"/>
  <c r="J128" i="3"/>
  <c r="J129" i="3"/>
  <c r="J130" i="3"/>
  <c r="J131" i="3"/>
  <c r="J132" i="3"/>
  <c r="J133" i="3"/>
  <c r="J134" i="3"/>
  <c r="J135" i="3"/>
  <c r="J136" i="3"/>
  <c r="J137" i="3"/>
  <c r="J138" i="3"/>
  <c r="J139" i="3"/>
  <c r="J140" i="3"/>
  <c r="J141" i="3"/>
  <c r="J142" i="3"/>
  <c r="J143" i="3"/>
  <c r="J144" i="3"/>
  <c r="J145" i="3"/>
  <c r="J146" i="3"/>
  <c r="J147" i="3"/>
  <c r="J148" i="3"/>
  <c r="J149" i="3"/>
  <c r="J150" i="3"/>
  <c r="J151" i="3"/>
  <c r="J152" i="3"/>
  <c r="J153" i="3"/>
  <c r="J154" i="3"/>
  <c r="J155" i="3"/>
  <c r="J156" i="3"/>
  <c r="J157" i="3"/>
  <c r="J158" i="3"/>
  <c r="J159" i="3"/>
  <c r="J160" i="3"/>
  <c r="J161" i="3"/>
  <c r="J162" i="3"/>
  <c r="J163" i="3"/>
  <c r="J164" i="3"/>
  <c r="J165" i="3"/>
  <c r="J166" i="3"/>
  <c r="J167" i="3"/>
  <c r="J168" i="3"/>
  <c r="J169" i="3"/>
  <c r="J170" i="3"/>
  <c r="J171" i="3"/>
  <c r="J172" i="3"/>
  <c r="J173" i="3"/>
  <c r="J174" i="3"/>
  <c r="J175" i="3"/>
  <c r="J176" i="3"/>
  <c r="J177" i="3"/>
  <c r="J178" i="3"/>
  <c r="J179" i="3"/>
  <c r="J180" i="3"/>
  <c r="J181" i="3"/>
  <c r="J182" i="3"/>
  <c r="J183" i="3"/>
  <c r="J184" i="3"/>
  <c r="J185" i="3"/>
  <c r="J186" i="3"/>
  <c r="J187" i="3"/>
  <c r="J188" i="3"/>
  <c r="J189" i="3"/>
  <c r="J190" i="3"/>
  <c r="J191" i="3"/>
  <c r="J192" i="3"/>
  <c r="J193" i="3"/>
  <c r="J194" i="3"/>
  <c r="J195" i="3"/>
  <c r="J196" i="3"/>
  <c r="J197" i="3"/>
  <c r="J198" i="3"/>
  <c r="J199" i="3"/>
  <c r="J200" i="3"/>
  <c r="J201" i="3"/>
  <c r="J202" i="3"/>
  <c r="J203" i="3"/>
  <c r="J204" i="3"/>
  <c r="J205" i="3"/>
  <c r="J206" i="3"/>
  <c r="J207" i="3"/>
  <c r="J208" i="3"/>
  <c r="J209" i="3"/>
  <c r="J210" i="3"/>
  <c r="J211" i="3"/>
  <c r="J212" i="3"/>
  <c r="J213" i="3"/>
  <c r="J214" i="3"/>
  <c r="J215" i="3"/>
  <c r="J216" i="3"/>
  <c r="J217" i="3"/>
  <c r="J218" i="3"/>
  <c r="J219" i="3"/>
  <c r="J220" i="3"/>
  <c r="J221" i="3"/>
  <c r="J222" i="3"/>
  <c r="J223" i="3"/>
  <c r="J224" i="3"/>
  <c r="J225" i="3"/>
  <c r="J226" i="3"/>
  <c r="J227" i="3"/>
  <c r="J228" i="3"/>
  <c r="J229" i="3"/>
  <c r="J230" i="3"/>
  <c r="J231" i="3"/>
  <c r="J232" i="3"/>
  <c r="J233" i="3"/>
  <c r="J234" i="3"/>
  <c r="J235" i="3"/>
  <c r="J236" i="3"/>
  <c r="J237" i="3"/>
  <c r="J238" i="3"/>
  <c r="J239" i="3"/>
  <c r="J240" i="3"/>
  <c r="J241" i="3"/>
  <c r="H30" i="2"/>
  <c r="H28" i="2"/>
  <c r="D28" i="2"/>
  <c r="H26" i="2"/>
  <c r="D26" i="2"/>
  <c r="H24" i="2"/>
  <c r="D24" i="2"/>
  <c r="M2" i="3"/>
  <c r="M3" i="3"/>
  <c r="M4" i="3"/>
  <c r="M5" i="3"/>
  <c r="M6" i="3"/>
  <c r="M7" i="3"/>
  <c r="M8" i="3"/>
  <c r="M9" i="3"/>
  <c r="M10" i="3"/>
  <c r="M11" i="3"/>
  <c r="M12" i="3"/>
  <c r="M13" i="3"/>
  <c r="M14" i="3"/>
  <c r="M15" i="3"/>
  <c r="M16" i="3"/>
  <c r="M17" i="3"/>
  <c r="M18" i="3"/>
  <c r="M19" i="3"/>
  <c r="M20" i="3"/>
  <c r="M21" i="3"/>
  <c r="M22" i="3"/>
  <c r="M23" i="3"/>
  <c r="M24" i="3"/>
  <c r="M25" i="3"/>
  <c r="M26" i="3"/>
  <c r="M27" i="3"/>
  <c r="M28" i="3"/>
  <c r="M29" i="3"/>
  <c r="M30" i="3"/>
  <c r="M31" i="3"/>
  <c r="M32" i="3"/>
  <c r="M33" i="3"/>
  <c r="M34" i="3"/>
  <c r="M35" i="3"/>
  <c r="M36" i="3"/>
  <c r="M37" i="3"/>
  <c r="M38" i="3"/>
  <c r="M39" i="3"/>
  <c r="M40" i="3"/>
  <c r="M41" i="3"/>
  <c r="M42" i="3"/>
  <c r="M43" i="3"/>
  <c r="M44" i="3"/>
  <c r="M45" i="3"/>
  <c r="M46" i="3"/>
  <c r="M47" i="3"/>
  <c r="M48" i="3"/>
  <c r="M49" i="3"/>
  <c r="M50" i="3"/>
  <c r="M51" i="3"/>
  <c r="M52" i="3"/>
  <c r="M53" i="3"/>
  <c r="M54" i="3"/>
  <c r="M55" i="3"/>
  <c r="M56" i="3"/>
  <c r="M57" i="3"/>
  <c r="M58" i="3"/>
  <c r="M59" i="3"/>
  <c r="M60" i="3"/>
  <c r="M61" i="3"/>
  <c r="M62" i="3"/>
  <c r="M63" i="3"/>
  <c r="M64" i="3"/>
  <c r="M65" i="3"/>
  <c r="M66" i="3"/>
  <c r="M67" i="3"/>
  <c r="M68" i="3"/>
  <c r="M69" i="3"/>
  <c r="M70" i="3"/>
  <c r="M71" i="3"/>
  <c r="M72" i="3"/>
  <c r="M73" i="3"/>
  <c r="M74" i="3"/>
  <c r="M75" i="3"/>
  <c r="M76" i="3"/>
  <c r="M77" i="3"/>
  <c r="M78" i="3"/>
  <c r="M79" i="3"/>
  <c r="M80" i="3"/>
  <c r="M81" i="3"/>
  <c r="M82" i="3"/>
  <c r="M83" i="3"/>
  <c r="M84" i="3"/>
  <c r="M85" i="3"/>
  <c r="M86" i="3"/>
  <c r="M87" i="3"/>
  <c r="M88" i="3"/>
  <c r="M89" i="3"/>
  <c r="M90" i="3"/>
  <c r="M91" i="3"/>
  <c r="M92" i="3"/>
  <c r="M93" i="3"/>
  <c r="M94" i="3"/>
  <c r="M95" i="3"/>
  <c r="M96" i="3"/>
  <c r="M97" i="3"/>
  <c r="M98" i="3"/>
  <c r="M99" i="3"/>
  <c r="M100" i="3"/>
  <c r="M101" i="3"/>
  <c r="M102" i="3"/>
  <c r="M103" i="3"/>
  <c r="M104" i="3"/>
  <c r="M105" i="3"/>
  <c r="M106" i="3"/>
  <c r="M107" i="3"/>
  <c r="M108" i="3"/>
  <c r="M109" i="3"/>
  <c r="M110" i="3"/>
  <c r="M111" i="3"/>
  <c r="M112" i="3"/>
  <c r="M113" i="3"/>
  <c r="M114" i="3"/>
  <c r="M115" i="3"/>
  <c r="M116" i="3"/>
  <c r="M117" i="3"/>
  <c r="M118" i="3"/>
  <c r="M119" i="3"/>
  <c r="M120" i="3"/>
  <c r="M121" i="3"/>
  <c r="M122" i="3"/>
  <c r="M123" i="3"/>
  <c r="M124" i="3"/>
  <c r="M125" i="3"/>
  <c r="M126" i="3"/>
  <c r="M127" i="3"/>
  <c r="M128" i="3"/>
  <c r="M129" i="3"/>
  <c r="M130" i="3"/>
  <c r="M131" i="3"/>
  <c r="M132" i="3"/>
  <c r="M133" i="3"/>
  <c r="M134" i="3"/>
  <c r="M135" i="3"/>
  <c r="M136" i="3"/>
  <c r="M137" i="3"/>
  <c r="M138" i="3"/>
  <c r="M139" i="3"/>
  <c r="M140" i="3"/>
  <c r="M141" i="3"/>
  <c r="M142" i="3"/>
  <c r="M143" i="3"/>
  <c r="M144" i="3"/>
  <c r="M145" i="3"/>
  <c r="M146" i="3"/>
  <c r="M147" i="3"/>
  <c r="M148" i="3"/>
  <c r="M149" i="3"/>
  <c r="M150" i="3"/>
  <c r="M151" i="3"/>
  <c r="M152" i="3"/>
  <c r="M153" i="3"/>
  <c r="M154" i="3"/>
  <c r="M155" i="3"/>
  <c r="M156" i="3"/>
  <c r="M157" i="3"/>
  <c r="M158" i="3"/>
  <c r="M159" i="3"/>
  <c r="M160" i="3"/>
  <c r="M161" i="3"/>
  <c r="M162" i="3"/>
  <c r="M163" i="3"/>
  <c r="M164" i="3"/>
  <c r="M165" i="3"/>
  <c r="M166" i="3"/>
  <c r="M167" i="3"/>
  <c r="M168" i="3"/>
  <c r="M169" i="3"/>
  <c r="M170" i="3"/>
  <c r="M171" i="3"/>
  <c r="M172" i="3"/>
  <c r="M173" i="3"/>
  <c r="M174" i="3"/>
  <c r="M175" i="3"/>
  <c r="M176" i="3"/>
  <c r="M177" i="3"/>
  <c r="M178" i="3"/>
  <c r="M179" i="3"/>
  <c r="M180" i="3"/>
  <c r="M181" i="3"/>
  <c r="M182" i="3"/>
  <c r="M183" i="3"/>
  <c r="M184" i="3"/>
  <c r="M185" i="3"/>
  <c r="M186" i="3"/>
  <c r="M187" i="3"/>
  <c r="M188" i="3"/>
  <c r="M189" i="3"/>
  <c r="M190" i="3"/>
  <c r="M191" i="3"/>
  <c r="M192" i="3"/>
  <c r="M193" i="3"/>
  <c r="M194" i="3"/>
  <c r="M195" i="3"/>
  <c r="M196" i="3"/>
  <c r="M197" i="3"/>
  <c r="M198" i="3"/>
  <c r="M199" i="3"/>
  <c r="M200" i="3"/>
  <c r="M201" i="3"/>
  <c r="M202" i="3"/>
  <c r="M203" i="3"/>
  <c r="M204" i="3"/>
  <c r="M205" i="3"/>
  <c r="M206" i="3"/>
  <c r="M207" i="3"/>
  <c r="M208" i="3"/>
  <c r="M209" i="3"/>
  <c r="M210" i="3"/>
  <c r="M211" i="3"/>
  <c r="M212" i="3"/>
  <c r="M213" i="3"/>
  <c r="M214" i="3"/>
  <c r="M215" i="3"/>
  <c r="M216" i="3"/>
  <c r="M217" i="3"/>
  <c r="M218" i="3"/>
  <c r="M219" i="3"/>
  <c r="M220" i="3"/>
  <c r="M221" i="3"/>
  <c r="M222" i="3"/>
  <c r="M223" i="3"/>
  <c r="M224" i="3"/>
  <c r="M225" i="3"/>
  <c r="M226" i="3"/>
  <c r="M227" i="3"/>
  <c r="M228" i="3"/>
  <c r="M229" i="3"/>
  <c r="M230" i="3"/>
  <c r="M231" i="3"/>
  <c r="M232" i="3"/>
  <c r="M233" i="3"/>
  <c r="M234" i="3"/>
  <c r="M235" i="3"/>
  <c r="M236" i="3"/>
  <c r="M237" i="3"/>
  <c r="M238" i="3"/>
  <c r="M239" i="3"/>
  <c r="M240" i="3"/>
  <c r="M241" i="3"/>
  <c r="L2" i="3"/>
  <c r="L3" i="3"/>
  <c r="L4" i="3"/>
  <c r="L5" i="3"/>
  <c r="L6" i="3"/>
  <c r="L7" i="3"/>
  <c r="L8" i="3"/>
  <c r="L9" i="3"/>
  <c r="L10" i="3"/>
  <c r="L11" i="3"/>
  <c r="L12" i="3"/>
  <c r="L13" i="3"/>
  <c r="L14" i="3"/>
  <c r="L15" i="3"/>
  <c r="L16" i="3"/>
  <c r="L17" i="3"/>
  <c r="L18" i="3"/>
  <c r="L19" i="3"/>
  <c r="L20" i="3"/>
  <c r="L21" i="3"/>
  <c r="L22" i="3"/>
  <c r="L23" i="3"/>
  <c r="L24" i="3"/>
  <c r="L25" i="3"/>
  <c r="L26" i="3"/>
  <c r="L27" i="3"/>
  <c r="L28" i="3"/>
  <c r="L29" i="3"/>
  <c r="L30" i="3"/>
  <c r="L31" i="3"/>
  <c r="L32" i="3"/>
  <c r="L33" i="3"/>
  <c r="L34" i="3"/>
  <c r="L35" i="3"/>
  <c r="L36" i="3"/>
  <c r="L37" i="3"/>
  <c r="L38" i="3"/>
  <c r="L39" i="3"/>
  <c r="L40" i="3"/>
  <c r="L41" i="3"/>
  <c r="L42" i="3"/>
  <c r="L43" i="3"/>
  <c r="L44" i="3"/>
  <c r="L45" i="3"/>
  <c r="L46" i="3"/>
  <c r="L47" i="3"/>
  <c r="L48" i="3"/>
  <c r="L49" i="3"/>
  <c r="L50" i="3"/>
  <c r="L51" i="3"/>
  <c r="L52" i="3"/>
  <c r="L53" i="3"/>
  <c r="L54" i="3"/>
  <c r="L55" i="3"/>
  <c r="L56" i="3"/>
  <c r="L57" i="3"/>
  <c r="L58" i="3"/>
  <c r="L59" i="3"/>
  <c r="L60" i="3"/>
  <c r="L61" i="3"/>
  <c r="L62" i="3"/>
  <c r="L63" i="3"/>
  <c r="L64" i="3"/>
  <c r="L65" i="3"/>
  <c r="L66" i="3"/>
  <c r="L67" i="3"/>
  <c r="L68" i="3"/>
  <c r="L69" i="3"/>
  <c r="L70" i="3"/>
  <c r="L71" i="3"/>
  <c r="L72" i="3"/>
  <c r="L73" i="3"/>
  <c r="L74" i="3"/>
  <c r="L75" i="3"/>
  <c r="L76" i="3"/>
  <c r="L77" i="3"/>
  <c r="L78" i="3"/>
  <c r="L79" i="3"/>
  <c r="L80" i="3"/>
  <c r="L81" i="3"/>
  <c r="L82" i="3"/>
  <c r="L83" i="3"/>
  <c r="L84" i="3"/>
  <c r="L85" i="3"/>
  <c r="L86" i="3"/>
  <c r="L87" i="3"/>
  <c r="L88" i="3"/>
  <c r="L89" i="3"/>
  <c r="L90" i="3"/>
  <c r="L91" i="3"/>
  <c r="L92" i="3"/>
  <c r="L93" i="3"/>
  <c r="L94" i="3"/>
  <c r="L95" i="3"/>
  <c r="L96" i="3"/>
  <c r="L97" i="3"/>
  <c r="L98" i="3"/>
  <c r="L99" i="3"/>
  <c r="L100" i="3"/>
  <c r="L101" i="3"/>
  <c r="L102" i="3"/>
  <c r="L103" i="3"/>
  <c r="L104" i="3"/>
  <c r="L105" i="3"/>
  <c r="L106" i="3"/>
  <c r="L107" i="3"/>
  <c r="L108" i="3"/>
  <c r="L109" i="3"/>
  <c r="L110" i="3"/>
  <c r="L111" i="3"/>
  <c r="L112" i="3"/>
  <c r="L113" i="3"/>
  <c r="L114" i="3"/>
  <c r="L115" i="3"/>
  <c r="L116" i="3"/>
  <c r="L117" i="3"/>
  <c r="L118" i="3"/>
  <c r="L119" i="3"/>
  <c r="L120" i="3"/>
  <c r="L121" i="3"/>
  <c r="L122" i="3"/>
  <c r="L123" i="3"/>
  <c r="L124" i="3"/>
  <c r="L125" i="3"/>
  <c r="L126" i="3"/>
  <c r="L127" i="3"/>
  <c r="L128" i="3"/>
  <c r="L129" i="3"/>
  <c r="L130" i="3"/>
  <c r="L131" i="3"/>
  <c r="L132" i="3"/>
  <c r="L133" i="3"/>
  <c r="L134" i="3"/>
  <c r="L135" i="3"/>
  <c r="L136" i="3"/>
  <c r="L137" i="3"/>
  <c r="L138" i="3"/>
  <c r="L139" i="3"/>
  <c r="L140" i="3"/>
  <c r="L141" i="3"/>
  <c r="L142" i="3"/>
  <c r="L143" i="3"/>
  <c r="L144" i="3"/>
  <c r="L145" i="3"/>
  <c r="L146" i="3"/>
  <c r="L147" i="3"/>
  <c r="L148" i="3"/>
  <c r="L149" i="3"/>
  <c r="L150" i="3"/>
  <c r="L151" i="3"/>
  <c r="L152" i="3"/>
  <c r="L153" i="3"/>
  <c r="L154" i="3"/>
  <c r="L155" i="3"/>
  <c r="L156" i="3"/>
  <c r="L157" i="3"/>
  <c r="L158" i="3"/>
  <c r="L159" i="3"/>
  <c r="L160" i="3"/>
  <c r="L161" i="3"/>
  <c r="L162" i="3"/>
  <c r="L163" i="3"/>
  <c r="L164" i="3"/>
  <c r="L165" i="3"/>
  <c r="L166" i="3"/>
  <c r="L167" i="3"/>
  <c r="L168" i="3"/>
  <c r="L169" i="3"/>
  <c r="L170" i="3"/>
  <c r="L171" i="3"/>
  <c r="L172" i="3"/>
  <c r="L173" i="3"/>
  <c r="L174" i="3"/>
  <c r="L175" i="3"/>
  <c r="L176" i="3"/>
  <c r="L177" i="3"/>
  <c r="L178" i="3"/>
  <c r="L179" i="3"/>
  <c r="L180" i="3"/>
  <c r="L181" i="3"/>
  <c r="L182" i="3"/>
  <c r="L183" i="3"/>
  <c r="L184" i="3"/>
  <c r="L185" i="3"/>
  <c r="L186" i="3"/>
  <c r="L187" i="3"/>
  <c r="L188" i="3"/>
  <c r="L189" i="3"/>
  <c r="L190" i="3"/>
  <c r="L191" i="3"/>
  <c r="L192" i="3"/>
  <c r="L193" i="3"/>
  <c r="L194" i="3"/>
  <c r="L195" i="3"/>
  <c r="L196" i="3"/>
  <c r="L197" i="3"/>
  <c r="L198" i="3"/>
  <c r="L199" i="3"/>
  <c r="L200" i="3"/>
  <c r="L201" i="3"/>
  <c r="L202" i="3"/>
  <c r="L203" i="3"/>
  <c r="L204" i="3"/>
  <c r="L205" i="3"/>
  <c r="L206" i="3"/>
  <c r="L207" i="3"/>
  <c r="L208" i="3"/>
  <c r="L209" i="3"/>
  <c r="L210" i="3"/>
  <c r="L211" i="3"/>
  <c r="L212" i="3"/>
  <c r="L213" i="3"/>
  <c r="L214" i="3"/>
  <c r="L215" i="3"/>
  <c r="L216" i="3"/>
  <c r="L217" i="3"/>
  <c r="L218" i="3"/>
  <c r="L219" i="3"/>
  <c r="L220" i="3"/>
  <c r="L221" i="3"/>
  <c r="L222" i="3"/>
  <c r="L223" i="3"/>
  <c r="L224" i="3"/>
  <c r="L225" i="3"/>
  <c r="L226" i="3"/>
  <c r="L227" i="3"/>
  <c r="L228" i="3"/>
  <c r="L229" i="3"/>
  <c r="L230" i="3"/>
  <c r="L231" i="3"/>
  <c r="L232" i="3"/>
  <c r="L233" i="3"/>
  <c r="L234" i="3"/>
  <c r="L235" i="3"/>
  <c r="L236" i="3"/>
  <c r="L237" i="3"/>
  <c r="L238" i="3"/>
  <c r="L239" i="3"/>
  <c r="L240" i="3"/>
  <c r="L241" i="3"/>
  <c r="K2" i="3"/>
  <c r="K3" i="3"/>
  <c r="K4" i="3"/>
  <c r="K5" i="3"/>
  <c r="K6" i="3"/>
  <c r="K7" i="3"/>
  <c r="K8" i="3"/>
  <c r="K9" i="3"/>
  <c r="K10" i="3"/>
  <c r="K11" i="3"/>
  <c r="K12" i="3"/>
  <c r="K13" i="3"/>
  <c r="K14" i="3"/>
  <c r="K15" i="3"/>
  <c r="K16" i="3"/>
  <c r="K17" i="3"/>
  <c r="K18" i="3"/>
  <c r="K19" i="3"/>
  <c r="K20" i="3"/>
  <c r="K21" i="3"/>
  <c r="K22" i="3"/>
  <c r="K23" i="3"/>
  <c r="K24" i="3"/>
  <c r="K25" i="3"/>
  <c r="K26" i="3"/>
  <c r="K27" i="3"/>
  <c r="K28" i="3"/>
  <c r="K29" i="3"/>
  <c r="K30" i="3"/>
  <c r="K31" i="3"/>
  <c r="K32" i="3"/>
  <c r="K33" i="3"/>
  <c r="K34" i="3"/>
  <c r="K35" i="3"/>
  <c r="K36" i="3"/>
  <c r="K37" i="3"/>
  <c r="K38" i="3"/>
  <c r="K39" i="3"/>
  <c r="K40" i="3"/>
  <c r="K41" i="3"/>
  <c r="K42" i="3"/>
  <c r="K43" i="3"/>
  <c r="K44" i="3"/>
  <c r="K45" i="3"/>
  <c r="K46" i="3"/>
  <c r="K47" i="3"/>
  <c r="K48" i="3"/>
  <c r="K49" i="3"/>
  <c r="K50" i="3"/>
  <c r="K51" i="3"/>
  <c r="K52" i="3"/>
  <c r="K53" i="3"/>
  <c r="K54" i="3"/>
  <c r="K55" i="3"/>
  <c r="K56" i="3"/>
  <c r="K57" i="3"/>
  <c r="K58" i="3"/>
  <c r="K59" i="3"/>
  <c r="K60" i="3"/>
  <c r="K61" i="3"/>
  <c r="K62" i="3"/>
  <c r="K63" i="3"/>
  <c r="K64" i="3"/>
  <c r="K65" i="3"/>
  <c r="K66" i="3"/>
  <c r="K67" i="3"/>
  <c r="K68" i="3"/>
  <c r="K69" i="3"/>
  <c r="K70" i="3"/>
  <c r="K71" i="3"/>
  <c r="K72" i="3"/>
  <c r="K73" i="3"/>
  <c r="K74" i="3"/>
  <c r="K75" i="3"/>
  <c r="K76" i="3"/>
  <c r="K77" i="3"/>
  <c r="K78" i="3"/>
  <c r="K79" i="3"/>
  <c r="K80" i="3"/>
  <c r="K81" i="3"/>
  <c r="K82" i="3"/>
  <c r="K83" i="3"/>
  <c r="K84" i="3"/>
  <c r="K85" i="3"/>
  <c r="K86" i="3"/>
  <c r="K87" i="3"/>
  <c r="K88" i="3"/>
  <c r="K89" i="3"/>
  <c r="K90" i="3"/>
  <c r="K91" i="3"/>
  <c r="K92" i="3"/>
  <c r="K93" i="3"/>
  <c r="K94" i="3"/>
  <c r="K95" i="3"/>
  <c r="K96" i="3"/>
  <c r="K97" i="3"/>
  <c r="K98" i="3"/>
  <c r="K99" i="3"/>
  <c r="K100" i="3"/>
  <c r="K101" i="3"/>
  <c r="K102" i="3"/>
  <c r="K103" i="3"/>
  <c r="K104" i="3"/>
  <c r="K105" i="3"/>
  <c r="K106" i="3"/>
  <c r="K107" i="3"/>
  <c r="K108" i="3"/>
  <c r="K109" i="3"/>
  <c r="K110" i="3"/>
  <c r="K111" i="3"/>
  <c r="K112" i="3"/>
  <c r="K113" i="3"/>
  <c r="K114" i="3"/>
  <c r="K115" i="3"/>
  <c r="K116" i="3"/>
  <c r="K117" i="3"/>
  <c r="K118" i="3"/>
  <c r="K119" i="3"/>
  <c r="K120" i="3"/>
  <c r="K121" i="3"/>
  <c r="K122" i="3"/>
  <c r="K123" i="3"/>
  <c r="K124" i="3"/>
  <c r="K125" i="3"/>
  <c r="K126" i="3"/>
  <c r="K127" i="3"/>
  <c r="K128" i="3"/>
  <c r="K129" i="3"/>
  <c r="K130" i="3"/>
  <c r="K131" i="3"/>
  <c r="K132" i="3"/>
  <c r="K133" i="3"/>
  <c r="K134" i="3"/>
  <c r="K135" i="3"/>
  <c r="K136" i="3"/>
  <c r="K137" i="3"/>
  <c r="K138" i="3"/>
  <c r="K139" i="3"/>
  <c r="K140" i="3"/>
  <c r="K141" i="3"/>
  <c r="K142" i="3"/>
  <c r="K143" i="3"/>
  <c r="K144" i="3"/>
  <c r="K145" i="3"/>
  <c r="K146" i="3"/>
  <c r="K147" i="3"/>
  <c r="K148" i="3"/>
  <c r="K149" i="3"/>
  <c r="K150" i="3"/>
  <c r="K151" i="3"/>
  <c r="K152" i="3"/>
  <c r="K153" i="3"/>
  <c r="K154" i="3"/>
  <c r="K155" i="3"/>
  <c r="K156" i="3"/>
  <c r="K157" i="3"/>
  <c r="K158" i="3"/>
  <c r="K159" i="3"/>
  <c r="K160" i="3"/>
  <c r="K161" i="3"/>
  <c r="K162" i="3"/>
  <c r="K163" i="3"/>
  <c r="K164" i="3"/>
  <c r="K165" i="3"/>
  <c r="K166" i="3"/>
  <c r="K167" i="3"/>
  <c r="K168" i="3"/>
  <c r="K169" i="3"/>
  <c r="K170" i="3"/>
  <c r="K171" i="3"/>
  <c r="K172" i="3"/>
  <c r="K173" i="3"/>
  <c r="K174" i="3"/>
  <c r="K175" i="3"/>
  <c r="K176" i="3"/>
  <c r="K177" i="3"/>
  <c r="K178" i="3"/>
  <c r="K179" i="3"/>
  <c r="K180" i="3"/>
  <c r="K181" i="3"/>
  <c r="K182" i="3"/>
  <c r="K183" i="3"/>
  <c r="K184" i="3"/>
  <c r="K185" i="3"/>
  <c r="K186" i="3"/>
  <c r="K187" i="3"/>
  <c r="K188" i="3"/>
  <c r="K189" i="3"/>
  <c r="K190" i="3"/>
  <c r="K191" i="3"/>
  <c r="K192" i="3"/>
  <c r="K193" i="3"/>
  <c r="K194" i="3"/>
  <c r="K195" i="3"/>
  <c r="K196" i="3"/>
  <c r="K197" i="3"/>
  <c r="K198" i="3"/>
  <c r="K199" i="3"/>
  <c r="K200" i="3"/>
  <c r="K201" i="3"/>
  <c r="K202" i="3"/>
  <c r="K203" i="3"/>
  <c r="K204" i="3"/>
  <c r="K205" i="3"/>
  <c r="K206" i="3"/>
  <c r="K207" i="3"/>
  <c r="K208" i="3"/>
  <c r="K209" i="3"/>
  <c r="K210" i="3"/>
  <c r="K211" i="3"/>
  <c r="K212" i="3"/>
  <c r="K213" i="3"/>
  <c r="K214" i="3"/>
  <c r="K215" i="3"/>
  <c r="K216" i="3"/>
  <c r="K217" i="3"/>
  <c r="K218" i="3"/>
  <c r="K219" i="3"/>
  <c r="K220" i="3"/>
  <c r="K221" i="3"/>
  <c r="K222" i="3"/>
  <c r="K223" i="3"/>
  <c r="K224" i="3"/>
  <c r="K225" i="3"/>
  <c r="K226" i="3"/>
  <c r="K227" i="3"/>
  <c r="K228" i="3"/>
  <c r="K229" i="3"/>
  <c r="K230" i="3"/>
  <c r="K231" i="3"/>
  <c r="K232" i="3"/>
  <c r="K233" i="3"/>
  <c r="K234" i="3"/>
  <c r="K235" i="3"/>
  <c r="K236" i="3"/>
  <c r="K237" i="3"/>
  <c r="K238" i="3"/>
  <c r="K239" i="3"/>
  <c r="K240" i="3"/>
  <c r="K241" i="3"/>
  <c r="C2" i="3"/>
  <c r="H5" i="2"/>
  <c r="F5" i="2"/>
  <c r="D5" i="2"/>
  <c r="B5" i="2"/>
  <c r="H5" i="4" l="1"/>
  <c r="D30" i="2"/>
</calcChain>
</file>

<file path=xl/sharedStrings.xml><?xml version="1.0" encoding="utf-8"?>
<sst xmlns="http://schemas.openxmlformats.org/spreadsheetml/2006/main" count="2069" uniqueCount="348">
  <si>
    <t>Order_ID</t>
  </si>
  <si>
    <t>Order_Date</t>
  </si>
  <si>
    <t>Region</t>
  </si>
  <si>
    <t>Product</t>
  </si>
  <si>
    <t>Category</t>
  </si>
  <si>
    <t>Quantity</t>
  </si>
  <si>
    <t>Unit_Price_ZAR</t>
  </si>
  <si>
    <t>Unit_Cost_ZAR</t>
  </si>
  <si>
    <t>Discount_Pct</t>
  </si>
  <si>
    <t>ORD-0001</t>
  </si>
  <si>
    <t>Gauteng</t>
  </si>
  <si>
    <t>Microwave</t>
  </si>
  <si>
    <t>Home Appliances</t>
  </si>
  <si>
    <t>ORD-0002</t>
  </si>
  <si>
    <t>Desk Chair</t>
  </si>
  <si>
    <t>Office Equipment</t>
  </si>
  <si>
    <t>ORD-0003</t>
  </si>
  <si>
    <t>Western Cape</t>
  </si>
  <si>
    <t>Laptop</t>
  </si>
  <si>
    <t>Electronics</t>
  </si>
  <si>
    <t>ORD-0004</t>
  </si>
  <si>
    <t>Eastern Cape</t>
  </si>
  <si>
    <t>Keyboard</t>
  </si>
  <si>
    <t>ORD-0005</t>
  </si>
  <si>
    <t>ORD-0006</t>
  </si>
  <si>
    <t>Monitor</t>
  </si>
  <si>
    <t>ORD-0007</t>
  </si>
  <si>
    <t>KwaZulu-Natal</t>
  </si>
  <si>
    <t>Printer</t>
  </si>
  <si>
    <t>ORD-0008</t>
  </si>
  <si>
    <t>ORD-0009</t>
  </si>
  <si>
    <t>ORD-0010</t>
  </si>
  <si>
    <t>ORD-0011</t>
  </si>
  <si>
    <t>ORD-0012</t>
  </si>
  <si>
    <t>ORD-0013</t>
  </si>
  <si>
    <t>ORD-0014</t>
  </si>
  <si>
    <t>ORD-0015</t>
  </si>
  <si>
    <t>ORD-0016</t>
  </si>
  <si>
    <t>ORD-0017</t>
  </si>
  <si>
    <t>ORD-0018</t>
  </si>
  <si>
    <t>ORD-0019</t>
  </si>
  <si>
    <t>ORD-0020</t>
  </si>
  <si>
    <t>ORD-0021</t>
  </si>
  <si>
    <t>ORD-0022</t>
  </si>
  <si>
    <t>Blender</t>
  </si>
  <si>
    <t>ORD-0023</t>
  </si>
  <si>
    <t>gauteng</t>
  </si>
  <si>
    <t>ORD-0024</t>
  </si>
  <si>
    <t>ORD-0025</t>
  </si>
  <si>
    <t>ORD-0026</t>
  </si>
  <si>
    <t>ORD-0027</t>
  </si>
  <si>
    <t>ORD-0028</t>
  </si>
  <si>
    <t>ORD-0029</t>
  </si>
  <si>
    <t>ORD-0030</t>
  </si>
  <si>
    <t>Office Desk</t>
  </si>
  <si>
    <t>ORD-0031</t>
  </si>
  <si>
    <t>ORD-0032</t>
  </si>
  <si>
    <t>ORD-0033</t>
  </si>
  <si>
    <t>ORD-0034</t>
  </si>
  <si>
    <t>ORD-0035</t>
  </si>
  <si>
    <t>ORD-0036</t>
  </si>
  <si>
    <t>ORD-0037</t>
  </si>
  <si>
    <t>ORD-0038</t>
  </si>
  <si>
    <t>Kettle</t>
  </si>
  <si>
    <t>ORD-0039</t>
  </si>
  <si>
    <t>ORD-0040</t>
  </si>
  <si>
    <t>ORD-0041</t>
  </si>
  <si>
    <t>ORD-0042</t>
  </si>
  <si>
    <t>ORD-0043</t>
  </si>
  <si>
    <t>ORD-0044</t>
  </si>
  <si>
    <t>ORD-0045</t>
  </si>
  <si>
    <t>ORD-0046</t>
  </si>
  <si>
    <t>ORD-0047</t>
  </si>
  <si>
    <t>ORD-0048</t>
  </si>
  <si>
    <t>ORD-0049</t>
  </si>
  <si>
    <t>ORD-0050</t>
  </si>
  <si>
    <t>ORD-0051</t>
  </si>
  <si>
    <t>ORD-0052</t>
  </si>
  <si>
    <t>ORD-0053</t>
  </si>
  <si>
    <t>ORD-0054</t>
  </si>
  <si>
    <t>ORD-0055</t>
  </si>
  <si>
    <t>ORD-0056</t>
  </si>
  <si>
    <t>ORD-0057</t>
  </si>
  <si>
    <t>ORD-0058</t>
  </si>
  <si>
    <t>ORD-0059</t>
  </si>
  <si>
    <t>ORD-0060</t>
  </si>
  <si>
    <t>electronics</t>
  </si>
  <si>
    <t>ORD-0061</t>
  </si>
  <si>
    <t>ORD-0062</t>
  </si>
  <si>
    <t>ORD-0063</t>
  </si>
  <si>
    <t>ORD-0064</t>
  </si>
  <si>
    <t>ORD-0065</t>
  </si>
  <si>
    <t>ORD-0066</t>
  </si>
  <si>
    <t>ORD-0067</t>
  </si>
  <si>
    <t>ORD-0068</t>
  </si>
  <si>
    <t>ORD-0069</t>
  </si>
  <si>
    <t>ORD-0070</t>
  </si>
  <si>
    <t>ORD-0071</t>
  </si>
  <si>
    <t>ORD-0072</t>
  </si>
  <si>
    <t>ORD-0073</t>
  </si>
  <si>
    <t>ORD-0074</t>
  </si>
  <si>
    <t>ORD-0075</t>
  </si>
  <si>
    <t>ORD-0076</t>
  </si>
  <si>
    <t>ORD-0077</t>
  </si>
  <si>
    <t>ORD-0078</t>
  </si>
  <si>
    <t>ORD-0079</t>
  </si>
  <si>
    <t>ORD-0080</t>
  </si>
  <si>
    <t>ORD-0081</t>
  </si>
  <si>
    <t>ORD-0082</t>
  </si>
  <si>
    <t>ORD-0083</t>
  </si>
  <si>
    <t>ORD-0084</t>
  </si>
  <si>
    <t>ORD-0085</t>
  </si>
  <si>
    <t>ORD-0086</t>
  </si>
  <si>
    <t>ORD-0087</t>
  </si>
  <si>
    <t>ORD-0088</t>
  </si>
  <si>
    <t>ORD-0089</t>
  </si>
  <si>
    <t>ORD-0090</t>
  </si>
  <si>
    <t>ORD-0091</t>
  </si>
  <si>
    <t>ORD-0092</t>
  </si>
  <si>
    <t>ORD-0093</t>
  </si>
  <si>
    <t>ORD-0094</t>
  </si>
  <si>
    <t>ORD-0095</t>
  </si>
  <si>
    <t>ORD-0096</t>
  </si>
  <si>
    <t>ORD-0097</t>
  </si>
  <si>
    <t>ORD-0098</t>
  </si>
  <si>
    <t>ORD-0099</t>
  </si>
  <si>
    <t>ORD-0100</t>
  </si>
  <si>
    <t>ORD-0101</t>
  </si>
  <si>
    <t>ORD-0102</t>
  </si>
  <si>
    <t>ORD-0103</t>
  </si>
  <si>
    <t>ORD-0104</t>
  </si>
  <si>
    <t>ORD-0105</t>
  </si>
  <si>
    <t>ORD-0106</t>
  </si>
  <si>
    <t>ORD-0107</t>
  </si>
  <si>
    <t>ORD-0108</t>
  </si>
  <si>
    <t>ORD-0109</t>
  </si>
  <si>
    <t>ORD-0110</t>
  </si>
  <si>
    <t>ORD-0111</t>
  </si>
  <si>
    <t>ORD-0112</t>
  </si>
  <si>
    <t>ORD-0113</t>
  </si>
  <si>
    <t>ORD-0114</t>
  </si>
  <si>
    <t>ORD-0115</t>
  </si>
  <si>
    <t>ORD-0116</t>
  </si>
  <si>
    <t>ORD-0117</t>
  </si>
  <si>
    <t>ORD-0118</t>
  </si>
  <si>
    <t>ORD-0119</t>
  </si>
  <si>
    <t>ORD-0120</t>
  </si>
  <si>
    <t>ORD-0121</t>
  </si>
  <si>
    <t>ORD-0122</t>
  </si>
  <si>
    <t>ORD-0123</t>
  </si>
  <si>
    <t>ORD-0124</t>
  </si>
  <si>
    <t>ORD-0125</t>
  </si>
  <si>
    <t>ORD-0126</t>
  </si>
  <si>
    <t>ORD-0127</t>
  </si>
  <si>
    <t>ORD-0128</t>
  </si>
  <si>
    <t>ORD-0129</t>
  </si>
  <si>
    <t>ORD-0130</t>
  </si>
  <si>
    <t>ORD-0131</t>
  </si>
  <si>
    <t>ORD-0132</t>
  </si>
  <si>
    <t>ORD-0133</t>
  </si>
  <si>
    <t>ORD-0134</t>
  </si>
  <si>
    <t>ORD-0135</t>
  </si>
  <si>
    <t>ORD-0136</t>
  </si>
  <si>
    <t>ORD-0137</t>
  </si>
  <si>
    <t>ORD-0138</t>
  </si>
  <si>
    <t>ORD-0139</t>
  </si>
  <si>
    <t>ORD-0140</t>
  </si>
  <si>
    <t>ORD-0141</t>
  </si>
  <si>
    <t>ORD-0142</t>
  </si>
  <si>
    <t>ORD-0143</t>
  </si>
  <si>
    <t>ORD-0144</t>
  </si>
  <si>
    <t>ORD-0145</t>
  </si>
  <si>
    <t>ORD-0146</t>
  </si>
  <si>
    <t>ORD-0147</t>
  </si>
  <si>
    <t>ORD-0148</t>
  </si>
  <si>
    <t>ORD-0149</t>
  </si>
  <si>
    <t>ORD-0150</t>
  </si>
  <si>
    <t>ORD-0151</t>
  </si>
  <si>
    <t>ORD-0152</t>
  </si>
  <si>
    <t>ORD-0153</t>
  </si>
  <si>
    <t>ORD-0154</t>
  </si>
  <si>
    <t>ORD-0155</t>
  </si>
  <si>
    <t>ORD-0156</t>
  </si>
  <si>
    <t>ORD-0157</t>
  </si>
  <si>
    <t>ORD-0158</t>
  </si>
  <si>
    <t>ORD-0159</t>
  </si>
  <si>
    <t>ORD-0160</t>
  </si>
  <si>
    <t>ORD-0161</t>
  </si>
  <si>
    <t>ORD-0162</t>
  </si>
  <si>
    <t>ORD-0163</t>
  </si>
  <si>
    <t>ORD-0164</t>
  </si>
  <si>
    <t>ORD-0165</t>
  </si>
  <si>
    <t>ORD-0166</t>
  </si>
  <si>
    <t>ORD-0167</t>
  </si>
  <si>
    <t>ORD-0168</t>
  </si>
  <si>
    <t>ORD-0169</t>
  </si>
  <si>
    <t>ORD-0170</t>
  </si>
  <si>
    <t>ORD-0171</t>
  </si>
  <si>
    <t>ORD-0172</t>
  </si>
  <si>
    <t>ORD-0173</t>
  </si>
  <si>
    <t>ORD-0174</t>
  </si>
  <si>
    <t>ORD-0175</t>
  </si>
  <si>
    <t>ORD-0176</t>
  </si>
  <si>
    <t>ORD-0177</t>
  </si>
  <si>
    <t>ORD-0178</t>
  </si>
  <si>
    <t>ORD-0179</t>
  </si>
  <si>
    <t>ORD-0180</t>
  </si>
  <si>
    <t>ORD-0181</t>
  </si>
  <si>
    <t>ORD-0182</t>
  </si>
  <si>
    <t>ORD-0183</t>
  </si>
  <si>
    <t>ORD-0184</t>
  </si>
  <si>
    <t>ORD-0185</t>
  </si>
  <si>
    <t>ORD-0186</t>
  </si>
  <si>
    <t>ORD-0187</t>
  </si>
  <si>
    <t>ORD-0188</t>
  </si>
  <si>
    <t>ORD-0189</t>
  </si>
  <si>
    <t>ORD-0190</t>
  </si>
  <si>
    <t>ORD-0191</t>
  </si>
  <si>
    <t>ORD-0192</t>
  </si>
  <si>
    <t>ORD-0193</t>
  </si>
  <si>
    <t>ORD-0194</t>
  </si>
  <si>
    <t>ORD-0195</t>
  </si>
  <si>
    <t>ORD-0196</t>
  </si>
  <si>
    <t>ORD-0197</t>
  </si>
  <si>
    <t>ORD-0198</t>
  </si>
  <si>
    <t>ORD-0199</t>
  </si>
  <si>
    <t>ORD-0200</t>
  </si>
  <si>
    <t>ORD-0201</t>
  </si>
  <si>
    <t>ORD-0202</t>
  </si>
  <si>
    <t>ORD-0203</t>
  </si>
  <si>
    <t>ORD-0204</t>
  </si>
  <si>
    <t>ORD-0205</t>
  </si>
  <si>
    <t>ORD-0206</t>
  </si>
  <si>
    <t>ORD-0207</t>
  </si>
  <si>
    <t>ORD-0208</t>
  </si>
  <si>
    <t>ORD-0209</t>
  </si>
  <si>
    <t>ORD-0210</t>
  </si>
  <si>
    <t>ORD-0211</t>
  </si>
  <si>
    <t>ORD-0212</t>
  </si>
  <si>
    <t>ORD-0213</t>
  </si>
  <si>
    <t>ORD-0214</t>
  </si>
  <si>
    <t>ORD-0215</t>
  </si>
  <si>
    <t>Western cape</t>
  </si>
  <si>
    <t>ORD-0216</t>
  </si>
  <si>
    <t>ORD-0217</t>
  </si>
  <si>
    <t>ORD-0218</t>
  </si>
  <si>
    <t>ORD-0219</t>
  </si>
  <si>
    <t>ORD-0220</t>
  </si>
  <si>
    <t>ORD-0221</t>
  </si>
  <si>
    <t>ORD-0222</t>
  </si>
  <si>
    <t>ORD-0223</t>
  </si>
  <si>
    <t>ORD-0224</t>
  </si>
  <si>
    <t>ORD-0225</t>
  </si>
  <si>
    <t>ORD-0226</t>
  </si>
  <si>
    <t>ORD-0227</t>
  </si>
  <si>
    <t>ORD-0228</t>
  </si>
  <si>
    <t>ORD-0229</t>
  </si>
  <si>
    <t>ORD-0230</t>
  </si>
  <si>
    <t>ORD-0231</t>
  </si>
  <si>
    <t>ORD-0232</t>
  </si>
  <si>
    <t>ORD-0233</t>
  </si>
  <si>
    <t>ORD-0234</t>
  </si>
  <si>
    <t>ORD-0235</t>
  </si>
  <si>
    <t>ORD-0236</t>
  </si>
  <si>
    <t>ORD-0237</t>
  </si>
  <si>
    <t>ORD-0238</t>
  </si>
  <si>
    <t>ORD-0239</t>
  </si>
  <si>
    <t>ORD-0240</t>
  </si>
  <si>
    <t>Order ID</t>
  </si>
  <si>
    <t>Column</t>
  </si>
  <si>
    <t>Original Value</t>
  </si>
  <si>
    <t>Issue Type</t>
  </si>
  <si>
    <t>Proposed Action</t>
  </si>
  <si>
    <t>Status</t>
  </si>
  <si>
    <t>Inconsistent text</t>
  </si>
  <si>
    <t>Change to Gauteng</t>
  </si>
  <si>
    <t>Change to Electronics</t>
  </si>
  <si>
    <t>Blank</t>
  </si>
  <si>
    <t>Missing Value</t>
  </si>
  <si>
    <t>Investigate Source</t>
  </si>
  <si>
    <t>Pending</t>
  </si>
  <si>
    <t>Notes</t>
  </si>
  <si>
    <t>Cannot assume 0% discount without confirming the original transaction.</t>
  </si>
  <si>
    <t>DATA QUALITY SUMMARY</t>
  </si>
  <si>
    <t>Records Reviewed</t>
  </si>
  <si>
    <t>Issues Identified</t>
  </si>
  <si>
    <t>Unresolved Issues</t>
  </si>
  <si>
    <t>Resolution Rate</t>
  </si>
  <si>
    <t>Corrected</t>
  </si>
  <si>
    <t>Change to Western Cape</t>
  </si>
  <si>
    <t>Data_Quality_Status</t>
  </si>
  <si>
    <t>Change to 2025/09/18</t>
  </si>
  <si>
    <t>Total Cleaned Records</t>
  </si>
  <si>
    <t>Missing Quantities</t>
  </si>
  <si>
    <t>Missing Discounts</t>
  </si>
  <si>
    <t>Incomplete Records</t>
  </si>
  <si>
    <t>Gross_Revenue_ZAR</t>
  </si>
  <si>
    <t>Net_Revenue_ZAR</t>
  </si>
  <si>
    <t>Gross_Profit_ZAR</t>
  </si>
  <si>
    <t>Missing Gross Revenue</t>
  </si>
  <si>
    <t>Records</t>
  </si>
  <si>
    <t>Missing Net Revenue</t>
  </si>
  <si>
    <t>Missing Gross Profit</t>
  </si>
  <si>
    <t>Cape Retail Co. - Sales Performance</t>
  </si>
  <si>
    <t>Gross Revenue</t>
  </si>
  <si>
    <t>Net Revenue</t>
  </si>
  <si>
    <t>Estimated Gross Profit</t>
  </si>
  <si>
    <t>Gross Profit Margin</t>
  </si>
  <si>
    <t>Row Labels</t>
  </si>
  <si>
    <t>Grand Total</t>
  </si>
  <si>
    <t>Sum of Net_Revenue_ZAR</t>
  </si>
  <si>
    <t>Jan</t>
  </si>
  <si>
    <t>Feb</t>
  </si>
  <si>
    <t>Mar</t>
  </si>
  <si>
    <t>Apr</t>
  </si>
  <si>
    <t>May</t>
  </si>
  <si>
    <t>Jun</t>
  </si>
  <si>
    <t>Jul</t>
  </si>
  <si>
    <t>Aug</t>
  </si>
  <si>
    <t>Sep</t>
  </si>
  <si>
    <t>Oct</t>
  </si>
  <si>
    <t>Nov</t>
  </si>
  <si>
    <t>Dec</t>
  </si>
  <si>
    <t>2025</t>
  </si>
  <si>
    <t>Sum of Gross_Profit_ZAR</t>
  </si>
  <si>
    <t>CAPE RETAIL CO.</t>
  </si>
  <si>
    <t>Observation and Evidence</t>
  </si>
  <si>
    <t>Business Implication</t>
  </si>
  <si>
    <t>Finding</t>
  </si>
  <si>
    <t>Regional Performance</t>
  </si>
  <si>
    <t>Product Performance</t>
  </si>
  <si>
    <t>Monthly Sales Trends</t>
  </si>
  <si>
    <t>Profitability</t>
  </si>
  <si>
    <t>Data Quality</t>
  </si>
  <si>
    <t>2025 SALES PERFORMANCE - KEY FINDINGS &amp; BUSINESS IMPLICATIONS</t>
  </si>
  <si>
    <t>Gauteng generated the highest net revenue at R 933 935, representing 32,51% of recorded net revenue.</t>
  </si>
  <si>
    <t>Gauteng represents the company's strongest regional revenue contributor. Futher analysis of customer demand, sales volume, and product preferences could help identify the factors driving its performance and whether these could be replicated in other regions.</t>
  </si>
  <si>
    <t>Laptops are a significant revenue contributor to Cape Retail Co. The company should investigate their sales volumes, profit margins, and inventory requirements to determine whether the product's revenue performance translates into strong profitability.</t>
  </si>
  <si>
    <t>Laptops were the highest revenue-generating product, contributing R1 393 750 to recorded net revenue during 2025. This represents 48,52% of overall net revenue.</t>
  </si>
  <si>
    <t>December recorded the highest net revenue with R355 125,50 (12,36%), while June recorded the lowest with R169 700,00 (5,91%).</t>
  </si>
  <si>
    <t>December's performance may indicate increased year-end or festive-season demand. However, additional year of sales data would be required to confirm a recurring seasonal trend.  The company could invesitgate promotional activity and purchasing patterns during this period to inform future inventory planning.</t>
  </si>
  <si>
    <t>Gauteng generated both the highest recorded net revenue and the highest estimated gross profit, resulting in a gross profit margin of 27,00%.</t>
  </si>
  <si>
    <t>Gauteng is an important contributor to both sales and product-level profitability. Comparing regional profit margins would provide further insight into operational and pricing performance.</t>
  </si>
  <si>
    <t>The dataset contained six identified data-quality issues, including two transactions with unresolved missing financial information. These incomplete transactions could not be fully included in net revenue and estimated gross profit calculations.</t>
  </si>
  <si>
    <t>The reported financial totals should be interpreted as figures based on the available calculable transactions rather than confirmed complete company totals. Improving data-entry validation and resolving missing transaction information would strengthen the reliability of future financial reports.</t>
  </si>
  <si>
    <t>OVERALL CONCLUSION</t>
  </si>
  <si>
    <t>Cape Retail Co.'s 2025 sales analysis identifies Gauteng as the leading region for both net revenue and estimated gross profit, laptops as the strongest revenue-generating product, and December as the highest-revenue month.</t>
  </si>
  <si>
    <t>These findings provide a starting point for evaluating regional performance, product profitability, and potential seasonal demand. Further investigation into gross profit margins, sales volumes, and historical trends would support more informed business decisions.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</si>
</sst>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R&quot;* #,##0.00_-;\-&quot;R&quot;* #,##0.00_-;_-&quot;R&quot;* &quot;-&quot;??_-;_-@_-"/>
    <numFmt numFmtId="164" formatCode="yyyy\-mm\-dd"/>
    <numFmt numFmtId="166" formatCode="&quot;R&quot;#,##0.00"/>
  </numFmts>
  <fonts count="17" x14ac:knownFonts="1">
    <font>
      <sz val="10"/>
      <color rgb="FF000000"/>
      <name val="Aptos Narrow"/>
      <scheme val="minor"/>
    </font>
    <font>
      <sz val="10"/>
      <name val="Aptos Narrow"/>
    </font>
    <font>
      <sz val="10"/>
      <color rgb="FF000000"/>
      <name val="Aptos Narrow"/>
      <scheme val="minor"/>
    </font>
    <font>
      <b/>
      <u/>
      <sz val="10"/>
      <color rgb="FF000000"/>
      <name val="Aptos Narrow"/>
      <family val="2"/>
      <scheme val="minor"/>
    </font>
    <font>
      <sz val="10"/>
      <color rgb="FF000000"/>
      <name val="Aptos Narrow"/>
      <family val="2"/>
      <scheme val="minor"/>
    </font>
    <font>
      <sz val="10"/>
      <name val="Aptos Narrow"/>
      <family val="2"/>
    </font>
    <font>
      <sz val="12"/>
      <color rgb="FF000000"/>
      <name val="Aptos Narrow"/>
      <family val="2"/>
      <scheme val="minor"/>
    </font>
    <font>
      <b/>
      <sz val="14"/>
      <color rgb="FF000000"/>
      <name val="Aptos Narrow"/>
      <family val="2"/>
      <scheme val="minor"/>
    </font>
    <font>
      <b/>
      <sz val="24"/>
      <color rgb="FF000000"/>
      <name val="Aptos Narrow"/>
      <family val="2"/>
      <scheme val="minor"/>
    </font>
    <font>
      <sz val="16"/>
      <color rgb="FF000000"/>
      <name val="Aptos Narrow"/>
      <family val="2"/>
      <scheme val="minor"/>
    </font>
    <font>
      <b/>
      <u/>
      <sz val="14"/>
      <color theme="3" tint="0.499984740745262"/>
      <name val="Aptos Narrow"/>
      <family val="2"/>
      <scheme val="minor"/>
    </font>
    <font>
      <b/>
      <u/>
      <sz val="26"/>
      <color theme="4"/>
      <name val="Aptos Display"/>
      <family val="2"/>
      <scheme val="major"/>
    </font>
    <font>
      <sz val="8"/>
      <name val="Aptos Narrow"/>
      <family val="2"/>
      <scheme val="minor"/>
    </font>
    <font>
      <b/>
      <u/>
      <sz val="14"/>
      <color rgb="FF000000"/>
      <name val="Aptos Narrow"/>
      <family val="2"/>
      <scheme val="minor"/>
    </font>
    <font>
      <sz val="24"/>
      <color theme="4"/>
      <name val="Aptos Display"/>
      <family val="2"/>
      <scheme val="major"/>
    </font>
    <font>
      <sz val="10"/>
      <color theme="0"/>
      <name val="Aptos Narrow"/>
      <family val="2"/>
    </font>
    <font>
      <b/>
      <u/>
      <sz val="18"/>
      <color theme="4"/>
      <name val="Aptos Narrow"/>
      <family val="2"/>
      <scheme val="minor"/>
    </font>
  </fonts>
  <fills count="3">
    <fill>
      <patternFill patternType="none"/>
    </fill>
    <fill>
      <patternFill patternType="gray125"/>
    </fill>
    <fill>
      <patternFill patternType="solid">
        <fgColor theme="0" tint="-4.9989318521683403E-2"/>
        <bgColor indexed="64"/>
      </patternFill>
    </fill>
  </fills>
  <borders count="12">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2">
    <xf numFmtId="0" fontId="0" fillId="0" borderId="0"/>
    <xf numFmtId="9" fontId="2" fillId="0" borderId="0" applyFont="0" applyFill="0" applyBorder="0" applyAlignment="0" applyProtection="0"/>
  </cellStyleXfs>
  <cellXfs count="105">
    <xf numFmtId="0" fontId="0" fillId="0" borderId="0" xfId="0"/>
    <xf numFmtId="0" fontId="1" fillId="0" borderId="0" xfId="0" applyFont="1"/>
    <xf numFmtId="164" fontId="1" fillId="0" borderId="0" xfId="0" applyNumberFormat="1" applyFont="1"/>
    <xf numFmtId="14" fontId="1" fillId="0" borderId="0" xfId="0" applyNumberFormat="1" applyFont="1"/>
    <xf numFmtId="0" fontId="0" fillId="0" borderId="0" xfId="0" applyFill="1"/>
    <xf numFmtId="164" fontId="1" fillId="0" borderId="0" xfId="0" applyNumberFormat="1" applyFont="1" applyFill="1"/>
    <xf numFmtId="0" fontId="1" fillId="0" borderId="0" xfId="0" applyFont="1" applyFill="1"/>
    <xf numFmtId="0" fontId="3" fillId="0" borderId="0" xfId="0" applyFont="1"/>
    <xf numFmtId="0" fontId="5" fillId="0" borderId="0" xfId="0" applyFont="1"/>
    <xf numFmtId="0" fontId="3" fillId="0" borderId="0" xfId="0" applyFont="1" applyAlignment="1">
      <alignment wrapText="1"/>
    </xf>
    <xf numFmtId="0" fontId="0" fillId="0" borderId="0" xfId="0" applyAlignment="1">
      <alignment wrapText="1"/>
    </xf>
    <xf numFmtId="0" fontId="1" fillId="0" borderId="0" xfId="0" applyFont="1" applyAlignment="1">
      <alignment horizontal="center" vertical="center"/>
    </xf>
    <xf numFmtId="0" fontId="0" fillId="0" borderId="0" xfId="0" applyAlignment="1">
      <alignment horizontal="center" vertical="center"/>
    </xf>
    <xf numFmtId="0" fontId="4" fillId="0" borderId="0" xfId="0" applyFont="1" applyAlignment="1">
      <alignment horizontal="center" vertical="center" wrapText="1"/>
    </xf>
    <xf numFmtId="0" fontId="4" fillId="0" borderId="0" xfId="0" applyFont="1" applyAlignment="1">
      <alignment horizontal="center" vertical="center"/>
    </xf>
    <xf numFmtId="0" fontId="0" fillId="0" borderId="0" xfId="0" applyAlignment="1">
      <alignment horizontal="center" vertical="center" wrapText="1"/>
    </xf>
    <xf numFmtId="0" fontId="0" fillId="0" borderId="0" xfId="0" applyFill="1" applyAlignment="1">
      <alignment horizontal="center" vertical="center"/>
    </xf>
    <xf numFmtId="164" fontId="1" fillId="0" borderId="0" xfId="0" applyNumberFormat="1" applyFont="1" applyFill="1" applyAlignment="1">
      <alignment horizontal="center" vertical="center"/>
    </xf>
    <xf numFmtId="0" fontId="1" fillId="0" borderId="0" xfId="0" applyFont="1" applyFill="1" applyAlignment="1">
      <alignment horizontal="center" vertical="center"/>
    </xf>
    <xf numFmtId="0" fontId="1" fillId="0" borderId="0" xfId="0" applyFont="1" applyFill="1" applyAlignment="1">
      <alignment horizontal="center" vertical="center" wrapText="1"/>
    </xf>
    <xf numFmtId="0" fontId="6" fillId="0" borderId="0" xfId="0" applyFont="1"/>
    <xf numFmtId="0" fontId="7" fillId="0" borderId="0" xfId="0" applyFont="1" applyAlignment="1">
      <alignment horizontal="center"/>
    </xf>
    <xf numFmtId="0" fontId="6" fillId="0" borderId="0" xfId="0" applyFont="1" applyAlignment="1">
      <alignment horizontal="center" vertical="center"/>
    </xf>
    <xf numFmtId="0" fontId="5" fillId="0" borderId="0" xfId="0" applyFont="1" applyAlignment="1">
      <alignment horizontal="center" vertical="center"/>
    </xf>
    <xf numFmtId="14" fontId="1" fillId="0" borderId="0" xfId="0" applyNumberFormat="1" applyFont="1" applyAlignment="1">
      <alignment horizontal="center" vertical="center"/>
    </xf>
    <xf numFmtId="14" fontId="5" fillId="0" borderId="0" xfId="0" applyNumberFormat="1" applyFont="1" applyAlignment="1">
      <alignment horizontal="center" vertical="center"/>
    </xf>
    <xf numFmtId="0" fontId="10" fillId="0" borderId="0" xfId="0" applyFont="1" applyFill="1" applyAlignment="1">
      <alignment vertical="center"/>
    </xf>
    <xf numFmtId="9" fontId="8" fillId="0" borderId="0" xfId="1" applyFont="1" applyFill="1" applyAlignment="1">
      <alignment vertical="center"/>
    </xf>
    <xf numFmtId="14" fontId="0" fillId="0" borderId="0" xfId="0" applyNumberFormat="1"/>
    <xf numFmtId="164" fontId="1" fillId="0" borderId="0" xfId="0" applyNumberFormat="1" applyFont="1" applyAlignment="1">
      <alignment horizontal="center" vertical="center"/>
    </xf>
    <xf numFmtId="166" fontId="5" fillId="0" borderId="0" xfId="0" applyNumberFormat="1" applyFont="1"/>
    <xf numFmtId="166"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44" fontId="0" fillId="0" borderId="0" xfId="0" applyNumberFormat="1"/>
    <xf numFmtId="0" fontId="15" fillId="0" borderId="0" xfId="0" applyFont="1"/>
    <xf numFmtId="14" fontId="15" fillId="0" borderId="0" xfId="0" applyNumberFormat="1" applyFont="1"/>
    <xf numFmtId="166" fontId="15" fillId="0" borderId="0" xfId="0" applyNumberFormat="1" applyFont="1"/>
    <xf numFmtId="0" fontId="14" fillId="2" borderId="1" xfId="0" applyFont="1" applyFill="1" applyBorder="1" applyAlignment="1">
      <alignment horizontal="center" vertical="center"/>
    </xf>
    <xf numFmtId="0" fontId="14" fillId="2" borderId="2" xfId="0" applyFont="1" applyFill="1" applyBorder="1" applyAlignment="1">
      <alignment horizontal="center" vertical="center"/>
    </xf>
    <xf numFmtId="0" fontId="14" fillId="2" borderId="3" xfId="0" applyFont="1" applyFill="1" applyBorder="1" applyAlignment="1">
      <alignment horizontal="center" vertical="center"/>
    </xf>
    <xf numFmtId="0" fontId="9" fillId="2" borderId="4" xfId="0" applyFont="1" applyFill="1" applyBorder="1" applyAlignment="1">
      <alignment horizontal="center" vertical="center"/>
    </xf>
    <xf numFmtId="0" fontId="9" fillId="2" borderId="5" xfId="0" applyFont="1" applyFill="1" applyBorder="1" applyAlignment="1">
      <alignment horizontal="center" vertical="center"/>
    </xf>
    <xf numFmtId="0" fontId="9" fillId="2" borderId="6" xfId="0" applyFont="1" applyFill="1" applyBorder="1" applyAlignment="1">
      <alignment horizontal="center" vertical="center"/>
    </xf>
    <xf numFmtId="0" fontId="0" fillId="0" borderId="0" xfId="0" applyBorder="1"/>
    <xf numFmtId="0" fontId="11" fillId="2" borderId="1" xfId="0" applyFont="1" applyFill="1" applyBorder="1" applyAlignment="1">
      <alignment horizontal="center"/>
    </xf>
    <xf numFmtId="0" fontId="11" fillId="2" borderId="2" xfId="0" applyFont="1" applyFill="1" applyBorder="1" applyAlignment="1">
      <alignment horizontal="center"/>
    </xf>
    <xf numFmtId="0" fontId="11" fillId="2" borderId="3" xfId="0" applyFont="1" applyFill="1" applyBorder="1" applyAlignment="1">
      <alignment horizontal="center"/>
    </xf>
    <xf numFmtId="0" fontId="0" fillId="2" borderId="7" xfId="0" applyFill="1" applyBorder="1"/>
    <xf numFmtId="0" fontId="0" fillId="2" borderId="0" xfId="0" applyFill="1" applyBorder="1"/>
    <xf numFmtId="0" fontId="0" fillId="2" borderId="8" xfId="0" applyFill="1" applyBorder="1"/>
    <xf numFmtId="0" fontId="10" fillId="2" borderId="7" xfId="0" applyFont="1" applyFill="1" applyBorder="1" applyAlignment="1">
      <alignment horizontal="center"/>
    </xf>
    <xf numFmtId="0" fontId="10" fillId="2" borderId="0" xfId="0" applyFont="1" applyFill="1" applyBorder="1" applyAlignment="1">
      <alignment horizontal="center"/>
    </xf>
    <xf numFmtId="0" fontId="10" fillId="2" borderId="8" xfId="0" applyFont="1" applyFill="1" applyBorder="1" applyAlignment="1">
      <alignment horizontal="center"/>
    </xf>
    <xf numFmtId="166" fontId="8" fillId="2" borderId="7" xfId="0" applyNumberFormat="1" applyFont="1" applyFill="1" applyBorder="1" applyAlignment="1">
      <alignment horizontal="center"/>
    </xf>
    <xf numFmtId="166" fontId="8" fillId="2" borderId="0" xfId="0" applyNumberFormat="1" applyFont="1" applyFill="1" applyBorder="1" applyAlignment="1">
      <alignment horizontal="center"/>
    </xf>
    <xf numFmtId="9" fontId="8" fillId="2" borderId="0" xfId="1" applyFont="1" applyFill="1" applyBorder="1" applyAlignment="1">
      <alignment horizontal="center"/>
    </xf>
    <xf numFmtId="9" fontId="8" fillId="2" borderId="8" xfId="1" applyFont="1" applyFill="1" applyBorder="1" applyAlignment="1">
      <alignment horizontal="center"/>
    </xf>
    <xf numFmtId="0" fontId="0" fillId="2" borderId="4" xfId="0" applyFill="1" applyBorder="1"/>
    <xf numFmtId="0" fontId="0" fillId="2" borderId="5" xfId="0" applyFill="1" applyBorder="1"/>
    <xf numFmtId="0" fontId="0" fillId="2" borderId="6" xfId="0" applyFill="1" applyBorder="1"/>
    <xf numFmtId="0" fontId="0" fillId="2" borderId="0" xfId="0" applyFill="1" applyBorder="1" applyAlignment="1">
      <alignment wrapText="1"/>
    </xf>
    <xf numFmtId="0" fontId="0" fillId="2" borderId="8" xfId="0" applyFill="1" applyBorder="1" applyAlignment="1">
      <alignment horizontal="center" vertical="center"/>
    </xf>
    <xf numFmtId="0" fontId="10" fillId="2" borderId="8" xfId="0" applyFont="1" applyFill="1" applyBorder="1" applyAlignment="1">
      <alignment horizontal="center" vertical="center"/>
    </xf>
    <xf numFmtId="0" fontId="8" fillId="2" borderId="7" xfId="0" applyFont="1" applyFill="1" applyBorder="1" applyAlignment="1">
      <alignment horizontal="center" vertical="center"/>
    </xf>
    <xf numFmtId="0" fontId="8" fillId="2" borderId="0" xfId="0" applyFont="1" applyFill="1" applyBorder="1" applyAlignment="1">
      <alignment horizontal="center" vertical="center"/>
    </xf>
    <xf numFmtId="9" fontId="8" fillId="2" borderId="8" xfId="1" applyFont="1" applyFill="1" applyBorder="1" applyAlignment="1">
      <alignment horizontal="center" vertical="center"/>
    </xf>
    <xf numFmtId="164" fontId="1" fillId="2" borderId="7" xfId="0" applyNumberFormat="1" applyFont="1" applyFill="1" applyBorder="1" applyAlignment="1">
      <alignment horizontal="center" vertical="center"/>
    </xf>
    <xf numFmtId="0" fontId="1" fillId="2" borderId="0" xfId="0" applyFont="1" applyFill="1" applyBorder="1" applyAlignment="1">
      <alignment horizontal="center" vertical="center"/>
    </xf>
    <xf numFmtId="0" fontId="1" fillId="2" borderId="0" xfId="0" applyFont="1" applyFill="1" applyBorder="1" applyAlignment="1">
      <alignment horizontal="center" vertical="center" wrapText="1"/>
    </xf>
    <xf numFmtId="0" fontId="1" fillId="2" borderId="8" xfId="0" applyFont="1" applyFill="1" applyBorder="1" applyAlignment="1">
      <alignment horizontal="center" vertical="center"/>
    </xf>
    <xf numFmtId="0" fontId="0" fillId="2" borderId="4" xfId="0" applyFill="1" applyBorder="1" applyAlignment="1">
      <alignment horizontal="center" vertical="center"/>
    </xf>
    <xf numFmtId="0" fontId="0" fillId="2" borderId="5" xfId="0" applyFill="1" applyBorder="1" applyAlignment="1">
      <alignment horizontal="center" vertical="center"/>
    </xf>
    <xf numFmtId="0" fontId="0" fillId="2" borderId="5" xfId="0" applyFill="1" applyBorder="1" applyAlignment="1">
      <alignment horizontal="center" vertical="center" wrapText="1"/>
    </xf>
    <xf numFmtId="0" fontId="0" fillId="2" borderId="6" xfId="0" applyFill="1" applyBorder="1" applyAlignment="1">
      <alignment horizontal="center" vertical="center"/>
    </xf>
    <xf numFmtId="0" fontId="13" fillId="2" borderId="1" xfId="0" applyFont="1" applyFill="1" applyBorder="1" applyAlignment="1">
      <alignment horizontal="center"/>
    </xf>
    <xf numFmtId="0" fontId="13" fillId="2" borderId="2" xfId="0" applyFont="1" applyFill="1" applyBorder="1" applyAlignment="1">
      <alignment horizontal="center"/>
    </xf>
    <xf numFmtId="0" fontId="7" fillId="2" borderId="2" xfId="0" applyFont="1" applyFill="1" applyBorder="1"/>
    <xf numFmtId="0" fontId="0" fillId="2" borderId="2" xfId="0" applyFill="1" applyBorder="1"/>
    <xf numFmtId="0" fontId="7" fillId="2" borderId="3" xfId="0" applyFont="1" applyFill="1" applyBorder="1"/>
    <xf numFmtId="0" fontId="13" fillId="2" borderId="7" xfId="0" applyFont="1" applyFill="1" applyBorder="1" applyAlignment="1">
      <alignment horizontal="center"/>
    </xf>
    <xf numFmtId="0" fontId="13" fillId="2" borderId="0" xfId="0" applyFont="1" applyFill="1" applyBorder="1" applyAlignment="1">
      <alignment horizontal="center"/>
    </xf>
    <xf numFmtId="0" fontId="7" fillId="2" borderId="0" xfId="0" applyFont="1" applyFill="1" applyBorder="1"/>
    <xf numFmtId="0" fontId="7" fillId="2" borderId="8" xfId="0" applyFont="1" applyFill="1" applyBorder="1"/>
    <xf numFmtId="0" fontId="13" fillId="2" borderId="4" xfId="0" applyFont="1" applyFill="1" applyBorder="1" applyAlignment="1">
      <alignment horizontal="center"/>
    </xf>
    <xf numFmtId="0" fontId="13" fillId="2" borderId="5" xfId="0" applyFont="1" applyFill="1" applyBorder="1" applyAlignment="1">
      <alignment horizontal="center"/>
    </xf>
    <xf numFmtId="0" fontId="7" fillId="2" borderId="5" xfId="0" applyFont="1" applyFill="1" applyBorder="1"/>
    <xf numFmtId="0" fontId="7" fillId="2" borderId="6" xfId="0" applyFont="1" applyFill="1" applyBorder="1"/>
    <xf numFmtId="0" fontId="6" fillId="0" borderId="0" xfId="0" applyFont="1" applyAlignment="1">
      <alignment horizontal="center" vertical="center" wrapText="1"/>
    </xf>
    <xf numFmtId="0" fontId="16" fillId="2" borderId="9" xfId="0" applyFont="1" applyFill="1" applyBorder="1" applyAlignment="1">
      <alignment horizontal="center"/>
    </xf>
    <xf numFmtId="0" fontId="16" fillId="2" borderId="10" xfId="0" applyFont="1" applyFill="1" applyBorder="1" applyAlignment="1">
      <alignment horizontal="center"/>
    </xf>
    <xf numFmtId="0" fontId="16" fillId="2" borderId="11" xfId="0" applyFont="1" applyFill="1" applyBorder="1" applyAlignment="1">
      <alignment horizontal="center"/>
    </xf>
    <xf numFmtId="0" fontId="6" fillId="0" borderId="2" xfId="0" applyFont="1" applyBorder="1" applyAlignment="1">
      <alignment horizontal="center" wrapText="1"/>
    </xf>
    <xf numFmtId="0" fontId="6" fillId="0" borderId="0" xfId="0" applyFont="1" applyBorder="1" applyAlignment="1">
      <alignment horizontal="center" wrapText="1"/>
    </xf>
    <xf numFmtId="0" fontId="6" fillId="0" borderId="1" xfId="0" applyFont="1" applyBorder="1" applyAlignment="1">
      <alignment horizontal="center" wrapText="1"/>
    </xf>
    <xf numFmtId="0" fontId="6" fillId="0" borderId="3" xfId="0" applyFont="1" applyBorder="1" applyAlignment="1">
      <alignment horizontal="center" wrapText="1"/>
    </xf>
    <xf numFmtId="0" fontId="6" fillId="0" borderId="7" xfId="0" applyFont="1" applyBorder="1" applyAlignment="1">
      <alignment horizontal="center" wrapText="1"/>
    </xf>
    <xf numFmtId="0" fontId="6" fillId="0" borderId="8" xfId="0" applyFont="1" applyBorder="1" applyAlignment="1">
      <alignment horizontal="center" wrapText="1"/>
    </xf>
    <xf numFmtId="0" fontId="6" fillId="2" borderId="7" xfId="0" applyFont="1" applyFill="1" applyBorder="1" applyAlignment="1">
      <alignment horizontal="center" wrapText="1"/>
    </xf>
    <xf numFmtId="0" fontId="6" fillId="2" borderId="0" xfId="0" applyFont="1" applyFill="1" applyBorder="1" applyAlignment="1">
      <alignment horizontal="center" wrapText="1"/>
    </xf>
    <xf numFmtId="0" fontId="6" fillId="2" borderId="8" xfId="0" applyFont="1" applyFill="1" applyBorder="1" applyAlignment="1">
      <alignment horizontal="center" wrapText="1"/>
    </xf>
    <xf numFmtId="0" fontId="6" fillId="2" borderId="4" xfId="0" applyFont="1" applyFill="1" applyBorder="1" applyAlignment="1">
      <alignment horizontal="center" wrapText="1"/>
    </xf>
    <xf numFmtId="0" fontId="6" fillId="2" borderId="5" xfId="0" applyFont="1" applyFill="1" applyBorder="1" applyAlignment="1">
      <alignment horizontal="center" wrapText="1"/>
    </xf>
    <xf numFmtId="0" fontId="6" fillId="2" borderId="6" xfId="0" applyFont="1" applyFill="1" applyBorder="1" applyAlignment="1">
      <alignment horizontal="center" wrapText="1"/>
    </xf>
  </cellXfs>
  <cellStyles count="2">
    <cellStyle name="Normal" xfId="0" builtinId="0"/>
    <cellStyle name="Percent" xfId="1" builtinId="5"/>
  </cellStyles>
  <dxfs count="72">
    <dxf>
      <numFmt numFmtId="34" formatCode="_-&quot;R&quot;* #,##0.00_-;\-&quot;R&quot;* #,##0.00_-;_-&quot;R&quot;* &quot;-&quot;??_-;_-@_-"/>
    </dxf>
    <dxf>
      <numFmt numFmtId="166" formatCode="&quot;R&quot;#,##0.00"/>
    </dxf>
    <dxf>
      <numFmt numFmtId="34" formatCode="_-&quot;R&quot;* #,##0.00_-;\-&quot;R&quot;* #,##0.00_-;_-&quot;R&quot;* &quot;-&quot;??_-;_-@_-"/>
    </dxf>
    <dxf>
      <numFmt numFmtId="34" formatCode="_-&quot;R&quot;* #,##0.00_-;\-&quot;R&quot;* #,##0.00_-;_-&quot;R&quot;* &quot;-&quot;??_-;_-@_-"/>
    </dxf>
    <dxf>
      <numFmt numFmtId="34" formatCode="_-&quot;R&quot;* #,##0.00_-;\-&quot;R&quot;* #,##0.00_-;_-&quot;R&quot;* &quot;-&quot;??_-;_-@_-"/>
    </dxf>
    <dxf>
      <numFmt numFmtId="34" formatCode="_-&quot;R&quot;* #,##0.00_-;\-&quot;R&quot;* #,##0.00_-;_-&quot;R&quot;* &quot;-&quot;??_-;_-@_-"/>
    </dxf>
    <dxf>
      <numFmt numFmtId="166" formatCode="&quot;R&quot;#,##0.00"/>
    </dxf>
    <dxf>
      <numFmt numFmtId="34" formatCode="_-&quot;R&quot;* #,##0.00_-;\-&quot;R&quot;* #,##0.00_-;_-&quot;R&quot;* &quot;-&quot;??_-;_-@_-"/>
    </dxf>
    <dxf>
      <numFmt numFmtId="34" formatCode="_-&quot;R&quot;* #,##0.00_-;\-&quot;R&quot;* #,##0.00_-;_-&quot;R&quot;* &quot;-&quot;??_-;_-@_-"/>
    </dxf>
    <dxf>
      <numFmt numFmtId="34" formatCode="_-&quot;R&quot;* #,##0.00_-;\-&quot;R&quot;* #,##0.00_-;_-&quot;R&quot;* &quot;-&quot;??_-;_-@_-"/>
    </dxf>
    <dxf>
      <numFmt numFmtId="34" formatCode="_-&quot;R&quot;* #,##0.00_-;\-&quot;R&quot;* #,##0.00_-;_-&quot;R&quot;* &quot;-&quot;??_-;_-@_-"/>
    </dxf>
    <dxf>
      <numFmt numFmtId="166" formatCode="&quot;R&quot;#,##0.00"/>
    </dxf>
    <dxf>
      <numFmt numFmtId="34" formatCode="_-&quot;R&quot;* #,##0.00_-;\-&quot;R&quot;* #,##0.00_-;_-&quot;R&quot;* &quot;-&quot;??_-;_-@_-"/>
    </dxf>
    <dxf>
      <numFmt numFmtId="34" formatCode="_-&quot;R&quot;* #,##0.00_-;\-&quot;R&quot;* #,##0.00_-;_-&quot;R&quot;* &quot;-&quot;??_-;_-@_-"/>
    </dxf>
    <dxf>
      <numFmt numFmtId="34" formatCode="_-&quot;R&quot;* #,##0.00_-;\-&quot;R&quot;* #,##0.00_-;_-&quot;R&quot;* &quot;-&quot;??_-;_-@_-"/>
    </dxf>
    <dxf>
      <numFmt numFmtId="34" formatCode="_-&quot;R&quot;* #,##0.00_-;\-&quot;R&quot;* #,##0.00_-;_-&quot;R&quot;* &quot;-&quot;??_-;_-@_-"/>
    </dxf>
    <dxf>
      <numFmt numFmtId="166" formatCode="&quot;R&quot;#,##0.00"/>
    </dxf>
    <dxf>
      <numFmt numFmtId="34" formatCode="_-&quot;R&quot;* #,##0.00_-;\-&quot;R&quot;* #,##0.00_-;_-&quot;R&quot;* &quot;-&quot;??_-;_-@_-"/>
    </dxf>
    <dxf>
      <numFmt numFmtId="34" formatCode="_-&quot;R&quot;* #,##0.00_-;\-&quot;R&quot;* #,##0.00_-;_-&quot;R&quot;* &quot;-&quot;??_-;_-@_-"/>
    </dxf>
    <dxf>
      <numFmt numFmtId="34" formatCode="_-&quot;R&quot;* #,##0.00_-;\-&quot;R&quot;* #,##0.00_-;_-&quot;R&quot;* &quot;-&quot;??_-;_-@_-"/>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val="0"/>
        <strike val="0"/>
        <condense val="0"/>
        <extend val="0"/>
        <outline val="0"/>
        <shadow val="0"/>
        <u val="none"/>
        <vertAlign val="baseline"/>
        <sz val="12"/>
        <color rgb="FF000000"/>
        <name val="Aptos Narrow"/>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2"/>
        <color rgb="FF000000"/>
        <name val="Aptos Narrow"/>
        <family val="2"/>
        <scheme val="minor"/>
      </font>
      <alignment horizontal="left" vertical="top" textRotation="0" wrapText="1" indent="0" justifyLastLine="0" shrinkToFit="0" readingOrder="0"/>
    </dxf>
    <dxf>
      <font>
        <b val="0"/>
        <i val="0"/>
        <strike val="0"/>
        <condense val="0"/>
        <extend val="0"/>
        <outline val="0"/>
        <shadow val="0"/>
        <u val="none"/>
        <vertAlign val="baseline"/>
        <sz val="12"/>
        <color rgb="FF000000"/>
        <name val="Aptos Narrow"/>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ptos Narrow"/>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Aptos Narrow"/>
        <family val="2"/>
        <scheme val="minor"/>
      </font>
    </dxf>
    <dxf>
      <font>
        <b/>
        <i val="0"/>
        <strike val="0"/>
        <condense val="0"/>
        <extend val="0"/>
        <outline val="0"/>
        <shadow val="0"/>
        <u val="none"/>
        <vertAlign val="baseline"/>
        <sz val="14"/>
        <color rgb="FF000000"/>
        <name val="Aptos Narrow"/>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0"/>
        <color theme="0"/>
        <name val="Aptos Narrow"/>
        <scheme val="none"/>
      </font>
    </dxf>
    <dxf>
      <font>
        <b val="0"/>
        <i val="0"/>
        <strike val="0"/>
        <condense val="0"/>
        <extend val="0"/>
        <outline val="0"/>
        <shadow val="0"/>
        <u val="none"/>
        <vertAlign val="baseline"/>
        <sz val="10"/>
        <color theme="0"/>
        <name val="Aptos Narrow"/>
        <scheme val="none"/>
      </font>
    </dxf>
    <dxf>
      <numFmt numFmtId="34" formatCode="_-&quot;R&quot;* #,##0.00_-;\-&quot;R&quot;* #,##0.00_-;_-&quot;R&quot;* &quot;-&quot;??_-;_-@_-"/>
    </dxf>
    <dxf>
      <numFmt numFmtId="34" formatCode="_-&quot;R&quot;* #,##0.00_-;\-&quot;R&quot;* #,##0.00_-;_-&quot;R&quot;* &quot;-&quot;??_-;_-@_-"/>
    </dxf>
    <dxf>
      <numFmt numFmtId="34" formatCode="_-&quot;R&quot;* #,##0.00_-;\-&quot;R&quot;* #,##0.00_-;_-&quot;R&quot;* &quot;-&quot;??_-;_-@_-"/>
    </dxf>
    <dxf>
      <numFmt numFmtId="34" formatCode="_-&quot;R&quot;* #,##0.00_-;\-&quot;R&quot;* #,##0.00_-;_-&quot;R&quot;* &quot;-&quot;??_-;_-@_-"/>
    </dxf>
    <dxf>
      <numFmt numFmtId="166" formatCode="&quot;R&quot;#,##0.00"/>
    </dxf>
    <dxf>
      <font>
        <b val="0"/>
        <i val="0"/>
        <strike val="0"/>
        <condense val="0"/>
        <extend val="0"/>
        <outline val="0"/>
        <shadow val="0"/>
        <u val="none"/>
        <vertAlign val="baseline"/>
        <sz val="10"/>
        <color auto="1"/>
        <name val="Aptos Narrow"/>
        <scheme val="none"/>
      </font>
      <numFmt numFmtId="0" formatCode="General"/>
    </dxf>
    <dxf>
      <font>
        <b val="0"/>
        <i val="0"/>
        <strike val="0"/>
        <condense val="0"/>
        <extend val="0"/>
        <outline val="0"/>
        <shadow val="0"/>
        <u val="none"/>
        <vertAlign val="baseline"/>
        <sz val="10"/>
        <color auto="1"/>
        <name val="Aptos Narrow"/>
        <scheme val="none"/>
      </font>
      <numFmt numFmtId="166" formatCode="&quot;R&quot;#,##0.00"/>
    </dxf>
    <dxf>
      <font>
        <b val="0"/>
        <i val="0"/>
        <strike val="0"/>
        <condense val="0"/>
        <extend val="0"/>
        <outline val="0"/>
        <shadow val="0"/>
        <u val="none"/>
        <vertAlign val="baseline"/>
        <sz val="10"/>
        <color auto="1"/>
        <name val="Aptos Narrow"/>
        <scheme val="none"/>
      </font>
      <numFmt numFmtId="166" formatCode="&quot;R&quot;#,##0.00"/>
    </dxf>
    <dxf>
      <font>
        <b val="0"/>
        <i val="0"/>
        <strike val="0"/>
        <condense val="0"/>
        <extend val="0"/>
        <outline val="0"/>
        <shadow val="0"/>
        <u val="none"/>
        <vertAlign val="baseline"/>
        <sz val="10"/>
        <color auto="1"/>
        <name val="Aptos Narrow"/>
        <scheme val="none"/>
      </font>
      <numFmt numFmtId="166" formatCode="&quot;R&quot;#,##0.00"/>
    </dxf>
    <dxf>
      <font>
        <b val="0"/>
        <i val="0"/>
        <strike val="0"/>
        <condense val="0"/>
        <extend val="0"/>
        <outline val="0"/>
        <shadow val="0"/>
        <u val="none"/>
        <vertAlign val="baseline"/>
        <sz val="10"/>
        <color auto="1"/>
        <name val="Aptos Narrow"/>
        <scheme val="none"/>
      </font>
      <numFmt numFmtId="19" formatCode="yyyy/mm/dd"/>
    </dxf>
    <dxf>
      <font>
        <b val="0"/>
        <i val="0"/>
        <strike val="0"/>
        <condense val="0"/>
        <extend val="0"/>
        <outline val="0"/>
        <shadow val="0"/>
        <u val="none"/>
        <vertAlign val="baseline"/>
        <sz val="10"/>
        <color auto="1"/>
        <name val="Aptos Narrow"/>
        <scheme val="none"/>
      </font>
    </dxf>
    <dxf>
      <font>
        <b val="0"/>
        <i val="0"/>
        <strike val="0"/>
        <condense val="0"/>
        <extend val="0"/>
        <outline val="0"/>
        <shadow val="0"/>
        <u val="none"/>
        <vertAlign val="baseline"/>
        <sz val="10"/>
        <color auto="1"/>
        <name val="Aptos Narrow"/>
        <scheme val="none"/>
      </font>
    </dxf>
    <dxf>
      <font>
        <b val="0"/>
        <i val="0"/>
        <strike val="0"/>
        <condense val="0"/>
        <extend val="0"/>
        <outline val="0"/>
        <shadow val="0"/>
        <u val="none"/>
        <vertAlign val="baseline"/>
        <sz val="10"/>
        <color auto="1"/>
        <name val="Aptos Narrow"/>
        <scheme val="none"/>
      </font>
      <numFmt numFmtId="19" formatCode="yyyy/mm/dd"/>
    </dxf>
    <dxf>
      <font>
        <b val="0"/>
        <i val="0"/>
        <strike val="0"/>
        <condense val="0"/>
        <extend val="0"/>
        <outline val="0"/>
        <shadow val="0"/>
        <u val="none"/>
        <vertAlign val="baseline"/>
        <sz val="10"/>
        <color auto="1"/>
        <name val="Aptos Narrow"/>
        <scheme val="none"/>
      </font>
    </dxf>
    <dxf>
      <font>
        <b val="0"/>
        <i val="0"/>
        <strike val="0"/>
        <condense val="0"/>
        <extend val="0"/>
        <outline val="0"/>
        <shadow val="0"/>
        <u val="none"/>
        <vertAlign val="baseline"/>
        <sz val="10"/>
        <color auto="1"/>
        <name val="Aptos Narrow"/>
        <scheme val="none"/>
      </font>
    </dxf>
    <dxf>
      <font>
        <b val="0"/>
        <i val="0"/>
        <strike val="0"/>
        <condense val="0"/>
        <extend val="0"/>
        <outline val="0"/>
        <shadow val="0"/>
        <u val="none"/>
        <vertAlign val="baseline"/>
        <sz val="10"/>
        <color auto="1"/>
        <name val="Aptos Narrow"/>
        <scheme val="none"/>
      </font>
    </dxf>
    <dxf>
      <font>
        <b val="0"/>
        <i val="0"/>
        <strike val="0"/>
        <condense val="0"/>
        <extend val="0"/>
        <outline val="0"/>
        <shadow val="0"/>
        <u val="none"/>
        <vertAlign val="baseline"/>
        <sz val="10"/>
        <color auto="1"/>
        <name val="Aptos Narrow"/>
        <scheme val="none"/>
      </font>
    </dxf>
    <dxf>
      <font>
        <b val="0"/>
        <i val="0"/>
        <strike val="0"/>
        <condense val="0"/>
        <extend val="0"/>
        <outline val="0"/>
        <shadow val="0"/>
        <u val="none"/>
        <vertAlign val="baseline"/>
        <sz val="10"/>
        <color auto="1"/>
        <name val="Aptos Narrow"/>
        <scheme val="none"/>
      </font>
    </dxf>
    <dxf>
      <font>
        <b val="0"/>
        <i val="0"/>
        <strike val="0"/>
        <condense val="0"/>
        <extend val="0"/>
        <outline val="0"/>
        <shadow val="0"/>
        <u val="none"/>
        <vertAlign val="baseline"/>
        <sz val="10"/>
        <color auto="1"/>
        <name val="Aptos Narrow"/>
        <scheme val="none"/>
      </font>
    </dxf>
    <dxf>
      <font>
        <b val="0"/>
        <i val="0"/>
        <strike val="0"/>
        <condense val="0"/>
        <extend val="0"/>
        <outline val="0"/>
        <shadow val="0"/>
        <u val="none"/>
        <vertAlign val="baseline"/>
        <sz val="10"/>
        <color auto="1"/>
        <name val="Aptos Narrow"/>
        <scheme val="none"/>
      </font>
    </dxf>
    <dxf>
      <font>
        <b val="0"/>
        <i val="0"/>
        <strike val="0"/>
        <condense val="0"/>
        <extend val="0"/>
        <outline val="0"/>
        <shadow val="0"/>
        <u val="none"/>
        <vertAlign val="baseline"/>
        <sz val="10"/>
        <color auto="1"/>
        <name val="Aptos Narrow"/>
        <scheme val="none"/>
      </font>
    </dxf>
    <dxf>
      <font>
        <b val="0"/>
        <i val="0"/>
        <strike val="0"/>
        <condense val="0"/>
        <extend val="0"/>
        <outline val="0"/>
        <shadow val="0"/>
        <u val="none"/>
        <vertAlign val="baseline"/>
        <sz val="10"/>
        <color auto="1"/>
        <name val="Aptos Narrow"/>
        <scheme val="none"/>
      </font>
    </dxf>
    <dxf>
      <font>
        <b val="0"/>
        <i val="0"/>
        <strike val="0"/>
        <condense val="0"/>
        <extend val="0"/>
        <outline val="0"/>
        <shadow val="0"/>
        <u val="none"/>
        <vertAlign val="baseline"/>
        <sz val="10"/>
        <color rgb="FF000000"/>
        <name val="Aptos Narrow"/>
        <family val="2"/>
        <scheme val="minor"/>
      </font>
      <alignment horizontal="center" vertical="center" textRotation="0"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0"/>
        <color auto="1"/>
        <name val="Aptos Narrow"/>
        <scheme val="none"/>
      </font>
      <alignment horizontal="center" vertical="center" textRotation="0" wrapText="0" indent="0" justifyLastLine="0" shrinkToFit="0" readingOrder="0"/>
    </dxf>
    <dxf>
      <alignment horizontal="center" vertical="center" textRotation="0" indent="0" justifyLastLine="0" shrinkToFit="0" readingOrder="0"/>
    </dxf>
    <dxf>
      <alignment horizontal="center" vertical="center" textRotation="0" wrapText="1"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font>
        <b/>
        <i val="0"/>
        <strike val="0"/>
        <condense val="0"/>
        <extend val="0"/>
        <outline val="0"/>
        <shadow val="0"/>
        <u/>
        <vertAlign val="baseline"/>
        <sz val="10"/>
        <color rgb="FF000000"/>
        <name val="Aptos Narrow"/>
        <family val="2"/>
        <scheme val="minor"/>
      </font>
    </dxf>
    <dxf>
      <font>
        <b val="0"/>
        <i val="0"/>
        <strike val="0"/>
        <condense val="0"/>
        <extend val="0"/>
        <outline val="0"/>
        <shadow val="0"/>
        <u val="none"/>
        <vertAlign val="baseline"/>
        <sz val="10"/>
        <color auto="1"/>
        <name val="Aptos Narrow"/>
        <scheme val="none"/>
      </font>
    </dxf>
    <dxf>
      <font>
        <b val="0"/>
        <i val="0"/>
        <strike val="0"/>
        <condense val="0"/>
        <extend val="0"/>
        <outline val="0"/>
        <shadow val="0"/>
        <u val="none"/>
        <vertAlign val="baseline"/>
        <sz val="10"/>
        <color auto="1"/>
        <name val="Aptos Narrow"/>
        <scheme val="none"/>
      </font>
    </dxf>
    <dxf>
      <font>
        <b val="0"/>
        <i val="0"/>
        <strike val="0"/>
        <condense val="0"/>
        <extend val="0"/>
        <outline val="0"/>
        <shadow val="0"/>
        <u val="none"/>
        <vertAlign val="baseline"/>
        <sz val="10"/>
        <color auto="1"/>
        <name val="Aptos Narrow"/>
        <scheme val="none"/>
      </font>
    </dxf>
    <dxf>
      <font>
        <b val="0"/>
        <i val="0"/>
        <strike val="0"/>
        <condense val="0"/>
        <extend val="0"/>
        <outline val="0"/>
        <shadow val="0"/>
        <u val="none"/>
        <vertAlign val="baseline"/>
        <sz val="10"/>
        <color auto="1"/>
        <name val="Aptos Narrow"/>
        <scheme val="none"/>
      </font>
    </dxf>
    <dxf>
      <font>
        <b val="0"/>
        <i val="0"/>
        <strike val="0"/>
        <condense val="0"/>
        <extend val="0"/>
        <outline val="0"/>
        <shadow val="0"/>
        <u val="none"/>
        <vertAlign val="baseline"/>
        <sz val="10"/>
        <color auto="1"/>
        <name val="Aptos Narrow"/>
        <scheme val="none"/>
      </font>
    </dxf>
    <dxf>
      <font>
        <b val="0"/>
        <i val="0"/>
        <strike val="0"/>
        <condense val="0"/>
        <extend val="0"/>
        <outline val="0"/>
        <shadow val="0"/>
        <u val="none"/>
        <vertAlign val="baseline"/>
        <sz val="10"/>
        <color auto="1"/>
        <name val="Aptos Narrow"/>
        <scheme val="none"/>
      </font>
    </dxf>
    <dxf>
      <font>
        <b val="0"/>
        <i val="0"/>
        <strike val="0"/>
        <condense val="0"/>
        <extend val="0"/>
        <outline val="0"/>
        <shadow val="0"/>
        <u val="none"/>
        <vertAlign val="baseline"/>
        <sz val="10"/>
        <color auto="1"/>
        <name val="Aptos Narrow"/>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[Cape_Retail_Sales_Analysis_2025.xlsx]Sales Analysis!tblRegionalSales</c:name>
    <c:fmtId val="0"/>
  </c:pivotSource>
  <c:chart>
    <c:title>
      <c:tx>
        <c:rich>
          <a:bodyPr rot="0" spcFirstLastPara="1" vertOverflow="ellipsis" vert="horz" wrap="square" anchor="ctr" anchorCtr="1"/>
          <a:lstStyle/>
          <a:p>
            <a:pPr>
              <a:defRPr sz="1600" b="1" i="0" u="sng" strike="noStrike" kern="1200" cap="all" spc="100" normalizeH="0" baseline="0">
                <a:solidFill>
                  <a:schemeClr val="lt1"/>
                </a:solidFill>
                <a:latin typeface="+mn-lt"/>
                <a:ea typeface="+mn-ea"/>
                <a:cs typeface="+mn-cs"/>
              </a:defRPr>
            </a:pPr>
            <a:r>
              <a:rPr lang="en-US" sz="1600" u="sng"/>
              <a:t>Regional Sales</a:t>
            </a:r>
          </a:p>
        </c:rich>
      </c:tx>
      <c:overlay val="0"/>
      <c:spPr>
        <a:noFill/>
        <a:ln>
          <a:noFill/>
        </a:ln>
        <a:effectLst/>
      </c:spPr>
      <c:txPr>
        <a:bodyPr rot="0" spcFirstLastPara="1" vertOverflow="ellipsis" vert="horz" wrap="square" anchor="ctr" anchorCtr="1"/>
        <a:lstStyle/>
        <a:p>
          <a:pPr>
            <a:defRPr sz="1600" b="1" i="0" u="sng"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1"/>
            </a:fgClr>
            <a:bgClr>
              <a:schemeClr val="lt1"/>
            </a:bgClr>
          </a:pattFill>
          <a:ln>
            <a:noFill/>
          </a:ln>
          <a:effectLst/>
        </c:spPr>
        <c:marker>
          <c:symbol val="circle"/>
          <c:size val="5"/>
          <c:spPr>
            <a:solidFill>
              <a:schemeClr val="accent1"/>
            </a:solidFill>
            <a:ln w="22225">
              <a:solidFill>
                <a:schemeClr val="lt1"/>
              </a:solidFill>
              <a:round/>
            </a:ln>
            <a:effectLst/>
          </c:spPr>
        </c:marker>
        <c:dLbl>
          <c:idx val="0"/>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9923300773564754"/>
          <c:y val="0.25887422471242877"/>
          <c:w val="0.6048873380119083"/>
          <c:h val="0.6402277338509248"/>
        </c:manualLayout>
      </c:layout>
      <c:barChart>
        <c:barDir val="bar"/>
        <c:grouping val="clustered"/>
        <c:varyColors val="0"/>
        <c:ser>
          <c:idx val="0"/>
          <c:order val="0"/>
          <c:tx>
            <c:strRef>
              <c:f>'Sales Analysis'!$D$10</c:f>
              <c:strCache>
                <c:ptCount val="1"/>
                <c:pt idx="0">
                  <c:v>Total</c:v>
                </c:pt>
              </c:strCache>
            </c:strRef>
          </c:tx>
          <c:spPr>
            <a:pattFill prst="ltUpDiag">
              <a:fgClr>
                <a:schemeClr val="accent1"/>
              </a:fgClr>
              <a:bgClr>
                <a:schemeClr val="lt1"/>
              </a:bgClr>
            </a:pattFill>
            <a:ln>
              <a:noFill/>
            </a:ln>
            <a:effectLst/>
          </c:spPr>
          <c:invertIfNegative val="0"/>
          <c:cat>
            <c:strRef>
              <c:f>'Sales Analysis'!$C$11:$C$15</c:f>
              <c:strCache>
                <c:ptCount val="4"/>
                <c:pt idx="0">
                  <c:v>Eastern Cape</c:v>
                </c:pt>
                <c:pt idx="1">
                  <c:v>KwaZulu-Natal</c:v>
                </c:pt>
                <c:pt idx="2">
                  <c:v>Western Cape</c:v>
                </c:pt>
                <c:pt idx="3">
                  <c:v>Gauteng</c:v>
                </c:pt>
              </c:strCache>
            </c:strRef>
          </c:cat>
          <c:val>
            <c:numRef>
              <c:f>'Sales Analysis'!$D$11:$D$15</c:f>
              <c:numCache>
                <c:formatCode>_("R"* #,##0.00_);_("R"* \(#,##0.00\);_("R"* "-"??_);_(@_)</c:formatCode>
                <c:ptCount val="4"/>
                <c:pt idx="0">
                  <c:v>424991.5</c:v>
                </c:pt>
                <c:pt idx="1">
                  <c:v>669760.5</c:v>
                </c:pt>
                <c:pt idx="2">
                  <c:v>843688.5</c:v>
                </c:pt>
                <c:pt idx="3">
                  <c:v>933935</c:v>
                </c:pt>
              </c:numCache>
            </c:numRef>
          </c:val>
          <c:extLst>
            <c:ext xmlns:c16="http://schemas.microsoft.com/office/drawing/2014/chart" uri="{C3380CC4-5D6E-409C-BE32-E72D297353CC}">
              <c16:uniqueId val="{00000000-6C85-44D9-8735-6B264BA6B765}"/>
            </c:ext>
          </c:extLst>
        </c:ser>
        <c:dLbls>
          <c:showLegendKey val="0"/>
          <c:showVal val="0"/>
          <c:showCatName val="0"/>
          <c:showSerName val="0"/>
          <c:showPercent val="0"/>
          <c:showBubbleSize val="0"/>
        </c:dLbls>
        <c:gapWidth val="269"/>
        <c:overlap val="-20"/>
        <c:axId val="1074747440"/>
        <c:axId val="744081280"/>
      </c:barChart>
      <c:catAx>
        <c:axId val="1074747440"/>
        <c:scaling>
          <c:orientation val="minMax"/>
        </c:scaling>
        <c:delete val="0"/>
        <c:axPos val="l"/>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744081280"/>
        <c:crosses val="autoZero"/>
        <c:auto val="1"/>
        <c:lblAlgn val="ctr"/>
        <c:lblOffset val="100"/>
        <c:noMultiLvlLbl val="0"/>
      </c:catAx>
      <c:valAx>
        <c:axId val="744081280"/>
        <c:scaling>
          <c:orientation val="minMax"/>
        </c:scaling>
        <c:delete val="0"/>
        <c:axPos val="b"/>
        <c:majorGridlines>
          <c:spPr>
            <a:ln w="9525" cap="flat" cmpd="sng" algn="ctr">
              <a:solidFill>
                <a:schemeClr val="lt1">
                  <a:alpha val="25000"/>
                </a:schemeClr>
              </a:solidFill>
              <a:round/>
            </a:ln>
            <a:effectLst/>
          </c:spPr>
        </c:majorGridlines>
        <c:numFmt formatCode="_(&quot;R&quot;* #,##0.00_);_(&quot;R&quot;* \(#,##0.00\);_(&quot;R&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0747474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[Cape_Retail_Sales_Analysis_2025.xlsx]Sales Analysis!Monthly Performance</c:name>
    <c:fmtId val="0"/>
  </c:pivotSource>
  <c:chart>
    <c:title>
      <c:tx>
        <c:rich>
          <a:bodyPr rot="0" spcFirstLastPara="1" vertOverflow="ellipsis" vert="horz" wrap="square" anchor="ctr" anchorCtr="1"/>
          <a:lstStyle/>
          <a:p>
            <a:pPr>
              <a:defRPr sz="1600" b="1" i="0" u="sng" strike="noStrike" kern="1200" cap="all" spc="100" normalizeH="0" baseline="0">
                <a:solidFill>
                  <a:schemeClr val="lt1"/>
                </a:solidFill>
                <a:latin typeface="+mn-lt"/>
                <a:ea typeface="+mn-ea"/>
                <a:cs typeface="+mn-cs"/>
              </a:defRPr>
            </a:pPr>
            <a:r>
              <a:rPr lang="en-ZA" sz="1600" u="sng"/>
              <a:t>Monthly Sales</a:t>
            </a:r>
          </a:p>
        </c:rich>
      </c:tx>
      <c:overlay val="0"/>
      <c:spPr>
        <a:noFill/>
        <a:ln>
          <a:noFill/>
        </a:ln>
        <a:effectLst/>
      </c:spPr>
      <c:txPr>
        <a:bodyPr rot="0" spcFirstLastPara="1" vertOverflow="ellipsis" vert="horz" wrap="square" anchor="ctr" anchorCtr="1"/>
        <a:lstStyle/>
        <a:p>
          <a:pPr>
            <a:defRPr sz="1600" b="1" i="0" u="sng" strike="noStrike" kern="1200" cap="all" spc="100" normalizeH="0" baseline="0">
              <a:solidFill>
                <a:schemeClr val="lt1"/>
              </a:solidFill>
              <a:latin typeface="+mn-lt"/>
              <a:ea typeface="+mn-ea"/>
              <a:cs typeface="+mn-cs"/>
            </a:defRPr>
          </a:pPr>
          <a:endParaRPr lang="en-US"/>
        </a:p>
      </c:txPr>
    </c:title>
    <c:autoTitleDeleted val="0"/>
    <c:pivotFmts>
      <c:pivotFmt>
        <c:idx val="0"/>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Analysis'!$J$10</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cat>
            <c:multiLvlStrRef>
              <c:f>'Sales Analysis'!$I$11:$I$24</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2025</c:v>
                  </c:pt>
                </c:lvl>
              </c:multiLvlStrCache>
            </c:multiLvlStrRef>
          </c:cat>
          <c:val>
            <c:numRef>
              <c:f>'Sales Analysis'!$J$11:$J$24</c:f>
              <c:numCache>
                <c:formatCode>"R"#\ ##0.00</c:formatCode>
                <c:ptCount val="12"/>
                <c:pt idx="0">
                  <c:v>225712.5</c:v>
                </c:pt>
                <c:pt idx="1">
                  <c:v>335461.5</c:v>
                </c:pt>
                <c:pt idx="2">
                  <c:v>216787.5</c:v>
                </c:pt>
                <c:pt idx="3">
                  <c:v>189010</c:v>
                </c:pt>
                <c:pt idx="4">
                  <c:v>199460</c:v>
                </c:pt>
                <c:pt idx="5">
                  <c:v>169700</c:v>
                </c:pt>
                <c:pt idx="6">
                  <c:v>221505</c:v>
                </c:pt>
                <c:pt idx="7">
                  <c:v>288583.5</c:v>
                </c:pt>
                <c:pt idx="8">
                  <c:v>180380</c:v>
                </c:pt>
                <c:pt idx="9">
                  <c:v>266916</c:v>
                </c:pt>
                <c:pt idx="10">
                  <c:v>223734</c:v>
                </c:pt>
                <c:pt idx="11">
                  <c:v>355125.5</c:v>
                </c:pt>
              </c:numCache>
            </c:numRef>
          </c:val>
          <c:smooth val="0"/>
          <c:extLst>
            <c:ext xmlns:c16="http://schemas.microsoft.com/office/drawing/2014/chart" uri="{C3380CC4-5D6E-409C-BE32-E72D297353CC}">
              <c16:uniqueId val="{00000000-68C3-4043-B924-979AE798685D}"/>
            </c:ext>
          </c:extLst>
        </c:ser>
        <c:dLbls>
          <c:dLblPos val="t"/>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050331024"/>
        <c:axId val="743995072"/>
      </c:lineChart>
      <c:catAx>
        <c:axId val="1050331024"/>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743995072"/>
        <c:crosses val="autoZero"/>
        <c:auto val="1"/>
        <c:lblAlgn val="ctr"/>
        <c:lblOffset val="100"/>
        <c:noMultiLvlLbl val="0"/>
      </c:catAx>
      <c:valAx>
        <c:axId val="743995072"/>
        <c:scaling>
          <c:orientation val="minMax"/>
        </c:scaling>
        <c:delete val="0"/>
        <c:axPos val="l"/>
        <c:numFmt formatCode="&quot;R&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0503310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[Cape_Retail_Sales_Analysis_2025.xlsx]Sales Analysis!Product Performance</c:name>
    <c:fmtId val="0"/>
  </c:pivotSource>
  <c:chart>
    <c:title>
      <c:tx>
        <c:rich>
          <a:bodyPr rot="0" spcFirstLastPara="1" vertOverflow="ellipsis" vert="horz" wrap="square" anchor="ctr" anchorCtr="1"/>
          <a:lstStyle/>
          <a:p>
            <a:pPr>
              <a:defRPr sz="1600" b="1" i="0" u="sng" strike="noStrike" kern="1200" cap="all" spc="100" normalizeH="0" baseline="0">
                <a:solidFill>
                  <a:schemeClr val="lt1"/>
                </a:solidFill>
                <a:latin typeface="+mn-lt"/>
                <a:ea typeface="+mn-ea"/>
                <a:cs typeface="+mn-cs"/>
              </a:defRPr>
            </a:pPr>
            <a:r>
              <a:rPr lang="en-ZA" sz="1600" u="sng"/>
              <a:t>Product Performance</a:t>
            </a:r>
          </a:p>
        </c:rich>
      </c:tx>
      <c:overlay val="0"/>
      <c:spPr>
        <a:noFill/>
        <a:ln>
          <a:noFill/>
        </a:ln>
        <a:effectLst/>
      </c:spPr>
      <c:txPr>
        <a:bodyPr rot="0" spcFirstLastPara="1" vertOverflow="ellipsis" vert="horz" wrap="square" anchor="ctr" anchorCtr="1"/>
        <a:lstStyle/>
        <a:p>
          <a:pPr>
            <a:defRPr sz="1600" b="1" i="0" u="sng"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1"/>
            </a:fgClr>
            <a:bgClr>
              <a:schemeClr val="lt1"/>
            </a:bgClr>
          </a:pattFill>
          <a:ln>
            <a:noFill/>
          </a:ln>
          <a:effectLst/>
        </c:spPr>
        <c:marker>
          <c:symbol val="circle"/>
          <c:size val="5"/>
          <c:spPr>
            <a:solidFill>
              <a:schemeClr val="accent1"/>
            </a:solidFill>
            <a:ln w="22225">
              <a:solidFill>
                <a:schemeClr val="lt1"/>
              </a:solidFill>
              <a:round/>
            </a:ln>
            <a:effectLst/>
          </c:spPr>
        </c:marker>
        <c:dLbl>
          <c:idx val="0"/>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210078469026256"/>
          <c:y val="0.25635680966546115"/>
          <c:w val="0.87410359965593365"/>
          <c:h val="0.46870932184614883"/>
        </c:manualLayout>
      </c:layout>
      <c:barChart>
        <c:barDir val="col"/>
        <c:grouping val="clustered"/>
        <c:varyColors val="0"/>
        <c:ser>
          <c:idx val="0"/>
          <c:order val="0"/>
          <c:tx>
            <c:strRef>
              <c:f>'Sales Analysis'!$G$10</c:f>
              <c:strCache>
                <c:ptCount val="1"/>
                <c:pt idx="0">
                  <c:v>Total</c:v>
                </c:pt>
              </c:strCache>
            </c:strRef>
          </c:tx>
          <c:spPr>
            <a:pattFill prst="ltUpDiag">
              <a:fgClr>
                <a:schemeClr val="accent1"/>
              </a:fgClr>
              <a:bgClr>
                <a:schemeClr val="lt1"/>
              </a:bgClr>
            </a:pattFill>
            <a:ln>
              <a:noFill/>
            </a:ln>
            <a:effectLst/>
          </c:spPr>
          <c:invertIfNegative val="0"/>
          <c:cat>
            <c:strRef>
              <c:f>'Sales Analysis'!$F$11:$F$20</c:f>
              <c:strCache>
                <c:ptCount val="9"/>
                <c:pt idx="0">
                  <c:v>Blender</c:v>
                </c:pt>
                <c:pt idx="1">
                  <c:v>Desk Chair</c:v>
                </c:pt>
                <c:pt idx="2">
                  <c:v>Kettle</c:v>
                </c:pt>
                <c:pt idx="3">
                  <c:v>Keyboard</c:v>
                </c:pt>
                <c:pt idx="4">
                  <c:v>Laptop</c:v>
                </c:pt>
                <c:pt idx="5">
                  <c:v>Microwave</c:v>
                </c:pt>
                <c:pt idx="6">
                  <c:v>Monitor</c:v>
                </c:pt>
                <c:pt idx="7">
                  <c:v>Office Desk</c:v>
                </c:pt>
                <c:pt idx="8">
                  <c:v>Printer</c:v>
                </c:pt>
              </c:strCache>
            </c:strRef>
          </c:cat>
          <c:val>
            <c:numRef>
              <c:f>'Sales Analysis'!$G$11:$G$20</c:f>
              <c:numCache>
                <c:formatCode>_("R"* #,##0.00_);_("R"* \(#,##0.00\);_("R"* "-"??_);_(@_)</c:formatCode>
                <c:ptCount val="9"/>
                <c:pt idx="0">
                  <c:v>95370</c:v>
                </c:pt>
                <c:pt idx="1">
                  <c:v>189630</c:v>
                </c:pt>
                <c:pt idx="2">
                  <c:v>33618</c:v>
                </c:pt>
                <c:pt idx="3">
                  <c:v>67015</c:v>
                </c:pt>
                <c:pt idx="4">
                  <c:v>1393750</c:v>
                </c:pt>
                <c:pt idx="5">
                  <c:v>124227.5</c:v>
                </c:pt>
                <c:pt idx="6">
                  <c:v>330990</c:v>
                </c:pt>
                <c:pt idx="7">
                  <c:v>345735</c:v>
                </c:pt>
                <c:pt idx="8">
                  <c:v>292040</c:v>
                </c:pt>
              </c:numCache>
            </c:numRef>
          </c:val>
          <c:extLst>
            <c:ext xmlns:c16="http://schemas.microsoft.com/office/drawing/2014/chart" uri="{C3380CC4-5D6E-409C-BE32-E72D297353CC}">
              <c16:uniqueId val="{00000000-08EC-4E7E-AECD-1D20E4BB11B6}"/>
            </c:ext>
          </c:extLst>
        </c:ser>
        <c:dLbls>
          <c:dLblPos val="ctr"/>
          <c:showLegendKey val="0"/>
          <c:showVal val="0"/>
          <c:showCatName val="0"/>
          <c:showSerName val="0"/>
          <c:showPercent val="0"/>
          <c:showBubbleSize val="0"/>
        </c:dLbls>
        <c:gapWidth val="269"/>
        <c:overlap val="-20"/>
        <c:axId val="1050333808"/>
        <c:axId val="743974432"/>
      </c:barChart>
      <c:catAx>
        <c:axId val="1050333808"/>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out"/>
        <c:minorTickMark val="none"/>
        <c:tickLblPos val="low"/>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743974432"/>
        <c:crosses val="autoZero"/>
        <c:auto val="1"/>
        <c:lblAlgn val="ctr"/>
        <c:lblOffset val="100"/>
        <c:tickLblSkip val="1"/>
        <c:noMultiLvlLbl val="0"/>
      </c:catAx>
      <c:valAx>
        <c:axId val="743974432"/>
        <c:scaling>
          <c:orientation val="minMax"/>
        </c:scaling>
        <c:delete val="0"/>
        <c:axPos val="l"/>
        <c:numFmt formatCode="_(&quot;R&quot;* #,##0.00_);_(&quot;R&quot;* \(#,##0.00\);_(&quot;R&quot;*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050333808"/>
        <c:crosses val="autoZero"/>
        <c:crossBetween val="between"/>
      </c:valAx>
      <c:spPr>
        <a:noFill/>
        <a:ln>
          <a:noFill/>
        </a:ln>
        <a:effectLst/>
      </c:spPr>
    </c:plotArea>
    <c:legend>
      <c:legendPos val="r"/>
      <c:layout>
        <c:manualLayout>
          <c:xMode val="edge"/>
          <c:yMode val="edge"/>
          <c:x val="0.89468119466440355"/>
          <c:y val="0.91255496495957245"/>
          <c:w val="6.9265688737170386E-2"/>
          <c:h val="7.617553802787376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[Cape_Retail_Sales_Analysis_2025.xlsx]Sales Analysis!PivotTable6</c:name>
    <c:fmtId val="0"/>
  </c:pivotSource>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ZA"/>
              <a:t>Net Revenue vs Estimated Gross Profit by Region - 2025</a:t>
            </a:r>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spPr>
          <a:solidFill>
            <a:schemeClr val="accent1"/>
          </a:solidFill>
          <a:ln>
            <a:noFill/>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6"/>
          <c:spPr>
            <a:solidFill>
              <a:schemeClr val="lt1"/>
            </a:solidFill>
            <a:ln w="1587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980314960629921"/>
          <c:y val="0.25792673566296292"/>
          <c:w val="0.83834426946631668"/>
          <c:h val="0.44596305744886239"/>
        </c:manualLayout>
      </c:layout>
      <c:barChart>
        <c:barDir val="col"/>
        <c:grouping val="clustered"/>
        <c:varyColors val="0"/>
        <c:ser>
          <c:idx val="0"/>
          <c:order val="0"/>
          <c:tx>
            <c:strRef>
              <c:f>'Sales Analysis'!$C$18</c:f>
              <c:strCache>
                <c:ptCount val="1"/>
                <c:pt idx="0">
                  <c:v>Sum of Net_Revenue_ZAR</c:v>
                </c:pt>
              </c:strCache>
            </c:strRef>
          </c:tx>
          <c:spPr>
            <a:solidFill>
              <a:schemeClr val="accent1"/>
            </a:solidFill>
            <a:ln>
              <a:noFill/>
            </a:ln>
            <a:effectLst/>
          </c:spPr>
          <c:invertIfNegative val="0"/>
          <c:cat>
            <c:strRef>
              <c:f>'Sales Analysis'!$B$19:$B$23</c:f>
              <c:strCache>
                <c:ptCount val="4"/>
                <c:pt idx="0">
                  <c:v>Gauteng</c:v>
                </c:pt>
                <c:pt idx="1">
                  <c:v>Western Cape</c:v>
                </c:pt>
                <c:pt idx="2">
                  <c:v>KwaZulu-Natal</c:v>
                </c:pt>
                <c:pt idx="3">
                  <c:v>Eastern Cape</c:v>
                </c:pt>
              </c:strCache>
            </c:strRef>
          </c:cat>
          <c:val>
            <c:numRef>
              <c:f>'Sales Analysis'!$C$19:$C$23</c:f>
              <c:numCache>
                <c:formatCode>_("R"* #,##0.00_);_("R"* \(#,##0.00\);_("R"* "-"??_);_(@_)</c:formatCode>
                <c:ptCount val="4"/>
                <c:pt idx="0">
                  <c:v>933935</c:v>
                </c:pt>
                <c:pt idx="1">
                  <c:v>843688.5</c:v>
                </c:pt>
                <c:pt idx="2">
                  <c:v>669760.5</c:v>
                </c:pt>
                <c:pt idx="3">
                  <c:v>424991.5</c:v>
                </c:pt>
              </c:numCache>
            </c:numRef>
          </c:val>
          <c:extLst>
            <c:ext xmlns:c16="http://schemas.microsoft.com/office/drawing/2014/chart" uri="{C3380CC4-5D6E-409C-BE32-E72D297353CC}">
              <c16:uniqueId val="{00000000-BCD6-4AA7-800C-0EA82F06ACAD}"/>
            </c:ext>
          </c:extLst>
        </c:ser>
        <c:ser>
          <c:idx val="1"/>
          <c:order val="1"/>
          <c:tx>
            <c:strRef>
              <c:f>'Sales Analysis'!$D$18</c:f>
              <c:strCache>
                <c:ptCount val="1"/>
                <c:pt idx="0">
                  <c:v>Sum of Gross_Profit_ZAR</c:v>
                </c:pt>
              </c:strCache>
            </c:strRef>
          </c:tx>
          <c:spPr>
            <a:solidFill>
              <a:schemeClr val="accent2"/>
            </a:solidFill>
            <a:ln>
              <a:noFill/>
            </a:ln>
            <a:effectLst/>
          </c:spPr>
          <c:invertIfNegative val="0"/>
          <c:cat>
            <c:strRef>
              <c:f>'Sales Analysis'!$B$19:$B$23</c:f>
              <c:strCache>
                <c:ptCount val="4"/>
                <c:pt idx="0">
                  <c:v>Gauteng</c:v>
                </c:pt>
                <c:pt idx="1">
                  <c:v>Western Cape</c:v>
                </c:pt>
                <c:pt idx="2">
                  <c:v>KwaZulu-Natal</c:v>
                </c:pt>
                <c:pt idx="3">
                  <c:v>Eastern Cape</c:v>
                </c:pt>
              </c:strCache>
            </c:strRef>
          </c:cat>
          <c:val>
            <c:numRef>
              <c:f>'Sales Analysis'!$D$19:$D$23</c:f>
              <c:numCache>
                <c:formatCode>_("R"* #,##0.00_);_("R"* \(#,##0.00\);_("R"* "-"??_);_(@_)</c:formatCode>
                <c:ptCount val="4"/>
                <c:pt idx="0">
                  <c:v>252035</c:v>
                </c:pt>
                <c:pt idx="1">
                  <c:v>212408.5</c:v>
                </c:pt>
                <c:pt idx="2">
                  <c:v>161100.5</c:v>
                </c:pt>
                <c:pt idx="3">
                  <c:v>105211.5</c:v>
                </c:pt>
              </c:numCache>
            </c:numRef>
          </c:val>
          <c:extLst>
            <c:ext xmlns:c16="http://schemas.microsoft.com/office/drawing/2014/chart" uri="{C3380CC4-5D6E-409C-BE32-E72D297353CC}">
              <c16:uniqueId val="{00000001-BCD6-4AA7-800C-0EA82F06ACAD}"/>
            </c:ext>
          </c:extLst>
        </c:ser>
        <c:dLbls>
          <c:dLblPos val="outEnd"/>
          <c:showLegendKey val="0"/>
          <c:showVal val="0"/>
          <c:showCatName val="0"/>
          <c:showSerName val="0"/>
          <c:showPercent val="0"/>
          <c:showBubbleSize val="0"/>
        </c:dLbls>
        <c:gapWidth val="267"/>
        <c:overlap val="-43"/>
        <c:axId val="1116068416"/>
        <c:axId val="744083680"/>
      </c:barChart>
      <c:catAx>
        <c:axId val="1116068416"/>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744083680"/>
        <c:crosses val="autoZero"/>
        <c:auto val="1"/>
        <c:lblAlgn val="ctr"/>
        <c:lblOffset val="100"/>
        <c:noMultiLvlLbl val="0"/>
      </c:catAx>
      <c:valAx>
        <c:axId val="744083680"/>
        <c:scaling>
          <c:orientation val="minMax"/>
        </c:scaling>
        <c:delete val="0"/>
        <c:axPos val="l"/>
        <c:majorGridlines>
          <c:spPr>
            <a:ln w="9525" cap="flat" cmpd="sng" algn="ctr">
              <a:solidFill>
                <a:schemeClr val="dk1">
                  <a:lumMod val="15000"/>
                  <a:lumOff val="85000"/>
                </a:schemeClr>
              </a:solidFill>
              <a:round/>
            </a:ln>
            <a:effectLst/>
          </c:spPr>
        </c:majorGridlines>
        <c:numFmt formatCode="_(&quot;R&quot;* #,##0.00_);_(&quot;R&quot;* \(#,##0.00\);_(&quot;R&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116068416"/>
        <c:crosses val="autoZero"/>
        <c:crossBetween val="between"/>
      </c:valAx>
      <c:spPr>
        <a:pattFill prst="ltDnDiag">
          <a:fgClr>
            <a:schemeClr val="dk1">
              <a:lumMod val="15000"/>
              <a:lumOff val="85000"/>
            </a:schemeClr>
          </a:fgClr>
          <a:bgClr>
            <a:schemeClr val="lt1"/>
          </a:bgClr>
        </a:pattFill>
        <a:ln>
          <a:noFill/>
        </a:ln>
        <a:effectLst/>
      </c:spPr>
    </c:plotArea>
    <c:legend>
      <c:legendPos val="r"/>
      <c:layout>
        <c:manualLayout>
          <c:xMode val="edge"/>
          <c:yMode val="edge"/>
          <c:x val="0.67648075240594929"/>
          <c:y val="0.79132918533565733"/>
          <c:w val="0.21687352562100587"/>
          <c:h val="0.187130810251232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6">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8">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828674</xdr:colOff>
      <xdr:row>35</xdr:row>
      <xdr:rowOff>166687</xdr:rowOff>
    </xdr:from>
    <xdr:to>
      <xdr:col>5</xdr:col>
      <xdr:colOff>761999</xdr:colOff>
      <xdr:row>52</xdr:row>
      <xdr:rowOff>161925</xdr:rowOff>
    </xdr:to>
    <xdr:graphicFrame macro="">
      <xdr:nvGraphicFramePr>
        <xdr:cNvPr id="3" name="Chart 2">
          <a:extLst>
            <a:ext uri="{FF2B5EF4-FFF2-40B4-BE49-F238E27FC236}">
              <a16:creationId xmlns:a16="http://schemas.microsoft.com/office/drawing/2014/main" id="{87343C59-1FFB-1F04-1BB4-56818C7D9C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28574</xdr:colOff>
      <xdr:row>54</xdr:row>
      <xdr:rowOff>33336</xdr:rowOff>
    </xdr:from>
    <xdr:to>
      <xdr:col>6</xdr:col>
      <xdr:colOff>9524</xdr:colOff>
      <xdr:row>73</xdr:row>
      <xdr:rowOff>9525</xdr:rowOff>
    </xdr:to>
    <xdr:graphicFrame macro="">
      <xdr:nvGraphicFramePr>
        <xdr:cNvPr id="4" name="Chart 3">
          <a:extLst>
            <a:ext uri="{FF2B5EF4-FFF2-40B4-BE49-F238E27FC236}">
              <a16:creationId xmlns:a16="http://schemas.microsoft.com/office/drawing/2014/main" id="{A2F560B5-44A6-4EAF-20A5-46F97A72B9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233362</xdr:colOff>
      <xdr:row>35</xdr:row>
      <xdr:rowOff>147636</xdr:rowOff>
    </xdr:from>
    <xdr:to>
      <xdr:col>13</xdr:col>
      <xdr:colOff>76200</xdr:colOff>
      <xdr:row>52</xdr:row>
      <xdr:rowOff>171449</xdr:rowOff>
    </xdr:to>
    <xdr:graphicFrame macro="">
      <xdr:nvGraphicFramePr>
        <xdr:cNvPr id="5" name="Chart 4">
          <a:extLst>
            <a:ext uri="{FF2B5EF4-FFF2-40B4-BE49-F238E27FC236}">
              <a16:creationId xmlns:a16="http://schemas.microsoft.com/office/drawing/2014/main" id="{DF42FCDC-2A51-7507-5A19-7B6183DE55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257174</xdr:colOff>
      <xdr:row>54</xdr:row>
      <xdr:rowOff>9524</xdr:rowOff>
    </xdr:from>
    <xdr:to>
      <xdr:col>13</xdr:col>
      <xdr:colOff>76200</xdr:colOff>
      <xdr:row>73</xdr:row>
      <xdr:rowOff>28575</xdr:rowOff>
    </xdr:to>
    <xdr:graphicFrame macro="">
      <xdr:nvGraphicFramePr>
        <xdr:cNvPr id="7" name="Chart 6">
          <a:extLst>
            <a:ext uri="{FF2B5EF4-FFF2-40B4-BE49-F238E27FC236}">
              <a16:creationId xmlns:a16="http://schemas.microsoft.com/office/drawing/2014/main" id="{BD170867-DCCE-8CA7-4104-E14F30BA0B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hael Mynhardt" refreshedDate="46316.90353113426" createdVersion="8" refreshedVersion="8" minRefreshableVersion="3" recordCount="240" xr:uid="{827BE090-F0F4-4D56-897B-87339388D91C}">
  <cacheSource type="worksheet">
    <worksheetSource name="tblSalesClean"/>
  </cacheSource>
  <cacheFields count="15">
    <cacheField name="Order_ID" numFmtId="0">
      <sharedItems/>
    </cacheField>
    <cacheField name="Order_Date" numFmtId="14">
      <sharedItems containsSemiMixedTypes="0" containsNonDate="0" containsDate="1" containsString="0" minDate="2025-01-01T00:00:00" maxDate="2026-01-01T00:00:00" count="184">
        <d v="2025-06-20T00:00:00"/>
        <d v="2025-10-11T00:00:00"/>
        <d v="2025-05-08T00:00:00"/>
        <d v="2025-03-18T00:00:00"/>
        <d v="2025-12-02T00:00:00"/>
        <d v="2025-10-28T00:00:00"/>
        <d v="2025-02-07T00:00:00"/>
        <d v="2025-10-12T00:00:00"/>
        <d v="2025-12-19T00:00:00"/>
        <d v="2025-06-12T00:00:00"/>
        <d v="2025-08-11T00:00:00"/>
        <d v="2025-03-16T00:00:00"/>
        <d v="2025-12-06T00:00:00"/>
        <d v="2025-02-13T00:00:00"/>
        <d v="2025-08-06T00:00:00"/>
        <d v="2025-01-08T00:00:00"/>
        <d v="2025-02-03T00:00:00"/>
        <d v="2025-12-05T00:00:00"/>
        <d v="2025-11-08T00:00:00"/>
        <d v="2025-04-23T00:00:00"/>
        <d v="2025-08-19T00:00:00"/>
        <d v="2025-04-19T00:00:00"/>
        <d v="2025-12-27T00:00:00"/>
        <d v="2025-08-14T00:00:00"/>
        <d v="2025-04-20T00:00:00"/>
        <d v="2025-02-02T00:00:00"/>
        <d v="2025-09-10T00:00:00"/>
        <d v="2025-08-17T00:00:00"/>
        <d v="2025-09-12T00:00:00"/>
        <d v="2025-01-16T00:00:00"/>
        <d v="2025-09-20T00:00:00"/>
        <d v="2025-01-22T00:00:00"/>
        <d v="2025-05-13T00:00:00"/>
        <d v="2025-12-28T00:00:00"/>
        <d v="2025-07-26T00:00:00"/>
        <d v="2025-09-14T00:00:00"/>
        <d v="2025-04-04T00:00:00"/>
        <d v="2025-09-11T00:00:00"/>
        <d v="2025-11-09T00:00:00"/>
        <d v="2025-01-14T00:00:00"/>
        <d v="2025-09-13T00:00:00"/>
        <d v="2025-08-07T00:00:00"/>
        <d v="2025-07-25T00:00:00"/>
        <d v="2025-07-12T00:00:00"/>
        <d v="2025-10-13T00:00:00"/>
        <d v="2025-04-06T00:00:00"/>
        <d v="2025-12-20T00:00:00"/>
        <d v="2025-01-21T00:00:00"/>
        <d v="2025-02-14T00:00:00"/>
        <d v="2025-02-24T00:00:00"/>
        <d v="2025-12-09T00:00:00"/>
        <d v="2025-04-02T00:00:00"/>
        <d v="2025-03-24T00:00:00"/>
        <d v="2025-02-15T00:00:00"/>
        <d v="2025-06-10T00:00:00"/>
        <d v="2025-08-05T00:00:00"/>
        <d v="2025-06-27T00:00:00"/>
        <d v="2025-09-05T00:00:00"/>
        <d v="2025-12-26T00:00:00"/>
        <d v="2025-12-07T00:00:00"/>
        <d v="2025-05-19T00:00:00"/>
        <d v="2025-03-21T00:00:00"/>
        <d v="2025-07-11T00:00:00"/>
        <d v="2025-11-04T00:00:00"/>
        <d v="2025-01-20T00:00:00"/>
        <d v="2025-01-11T00:00:00"/>
        <d v="2025-09-19T00:00:00"/>
        <d v="2025-03-03T00:00:00"/>
        <d v="2025-10-09T00:00:00"/>
        <d v="2025-08-09T00:00:00"/>
        <d v="2025-10-03T00:00:00"/>
        <d v="2025-07-09T00:00:00"/>
        <d v="2025-12-23T00:00:00"/>
        <d v="2025-04-16T00:00:00"/>
        <d v="2025-09-06T00:00:00"/>
        <d v="2025-04-25T00:00:00"/>
        <d v="2025-05-18T00:00:00"/>
        <d v="2025-03-07T00:00:00"/>
        <d v="2025-10-26T00:00:00"/>
        <d v="2025-02-16T00:00:00"/>
        <d v="2025-02-08T00:00:00"/>
        <d v="2025-02-04T00:00:00"/>
        <d v="2025-06-28T00:00:00"/>
        <d v="2025-03-17T00:00:00"/>
        <d v="2025-05-29T00:00:00"/>
        <d v="2025-06-13T00:00:00"/>
        <d v="2025-10-04T00:00:00"/>
        <d v="2025-08-25T00:00:00"/>
        <d v="2025-02-05T00:00:00"/>
        <d v="2025-02-20T00:00:00"/>
        <d v="2025-04-10T00:00:00"/>
        <d v="2025-12-31T00:00:00"/>
        <d v="2025-07-23T00:00:00"/>
        <d v="2025-06-26T00:00:00"/>
        <d v="2025-01-18T00:00:00"/>
        <d v="2025-08-29T00:00:00"/>
        <d v="2025-05-23T00:00:00"/>
        <d v="2025-03-13T00:00:00"/>
        <d v="2025-09-16T00:00:00"/>
        <d v="2025-06-07T00:00:00"/>
        <d v="2025-01-17T00:00:00"/>
        <d v="2025-06-15T00:00:00"/>
        <d v="2025-01-13T00:00:00"/>
        <d v="2025-09-30T00:00:00"/>
        <d v="2025-03-22T00:00:00"/>
        <d v="2025-11-20T00:00:00"/>
        <d v="2025-01-25T00:00:00"/>
        <d v="2025-01-09T00:00:00"/>
        <d v="2025-05-16T00:00:00"/>
        <d v="2025-06-29T00:00:00"/>
        <d v="2025-09-24T00:00:00"/>
        <d v="2025-11-22T00:00:00"/>
        <d v="2025-01-05T00:00:00"/>
        <d v="2025-11-15T00:00:00"/>
        <d v="2025-03-29T00:00:00"/>
        <d v="2025-08-18T00:00:00"/>
        <d v="2025-12-15T00:00:00"/>
        <d v="2025-11-26T00:00:00"/>
        <d v="2025-11-03T00:00:00"/>
        <d v="2025-11-10T00:00:00"/>
        <d v="2025-09-21T00:00:00"/>
        <d v="2025-02-11T00:00:00"/>
        <d v="2025-01-30T00:00:00"/>
        <d v="2025-07-20T00:00:00"/>
        <d v="2025-04-21T00:00:00"/>
        <d v="2025-09-22T00:00:00"/>
        <d v="2025-08-16T00:00:00"/>
        <d v="2025-07-13T00:00:00"/>
        <d v="2025-12-29T00:00:00"/>
        <d v="2025-01-01T00:00:00"/>
        <d v="2025-11-24T00:00:00"/>
        <d v="2025-04-27T00:00:00"/>
        <d v="2025-03-19T00:00:00"/>
        <d v="2025-01-15T00:00:00"/>
        <d v="2025-10-29T00:00:00"/>
        <d v="2025-10-27T00:00:00"/>
        <d v="2025-05-20T00:00:00"/>
        <d v="2025-08-10T00:00:00"/>
        <d v="2025-07-14T00:00:00"/>
        <d v="2025-02-09T00:00:00"/>
        <d v="2025-12-25T00:00:00"/>
        <d v="2025-06-21T00:00:00"/>
        <d v="2025-06-30T00:00:00"/>
        <d v="2025-08-20T00:00:00"/>
        <d v="2025-12-30T00:00:00"/>
        <d v="2025-07-29T00:00:00"/>
        <d v="2025-11-25T00:00:00"/>
        <d v="2025-03-01T00:00:00"/>
        <d v="2025-08-24T00:00:00"/>
        <d v="2025-12-12T00:00:00"/>
        <d v="2025-07-16T00:00:00"/>
        <d v="2025-10-21T00:00:00"/>
        <d v="2025-05-22T00:00:00"/>
        <d v="2025-09-25T00:00:00"/>
        <d v="2025-04-17T00:00:00"/>
        <d v="2025-08-30T00:00:00"/>
        <d v="2025-05-06T00:00:00"/>
        <d v="2025-10-10T00:00:00"/>
        <d v="2025-04-28T00:00:00"/>
        <d v="2025-12-11T00:00:00"/>
        <d v="2025-02-10T00:00:00"/>
        <d v="2025-05-12T00:00:00"/>
        <d v="2025-08-15T00:00:00"/>
        <d v="2025-08-02T00:00:00"/>
        <d v="2025-04-01T00:00:00"/>
        <d v="2025-05-26T00:00:00"/>
        <d v="2025-06-16T00:00:00"/>
        <d v="2025-02-22T00:00:00"/>
        <d v="2025-01-23T00:00:00"/>
        <d v="2025-03-09T00:00:00"/>
        <d v="2025-02-25T00:00:00"/>
        <d v="2025-06-23T00:00:00"/>
        <d v="2025-06-19T00:00:00"/>
        <d v="2025-12-03T00:00:00"/>
        <d v="2025-02-01T00:00:00"/>
        <d v="2025-03-25T00:00:00"/>
        <d v="2025-10-19T00:00:00"/>
        <d v="2025-05-11T00:00:00"/>
        <d v="2025-06-04T00:00:00"/>
        <d v="2025-02-27T00:00:00"/>
        <d v="2025-11-02T00:00:00"/>
        <d v="2025-06-08T00:00:00"/>
        <d v="2025-05-27T00:00:00"/>
        <d v="2025-06-03T00:00:00"/>
      </sharedItems>
      <fieldGroup par="14"/>
    </cacheField>
    <cacheField name="Region" numFmtId="0">
      <sharedItems count="4">
        <s v="Gauteng"/>
        <s v="Western Cape"/>
        <s v="Eastern Cape"/>
        <s v="KwaZulu-Natal"/>
      </sharedItems>
    </cacheField>
    <cacheField name="Product" numFmtId="0">
      <sharedItems count="9">
        <s v="Microwave"/>
        <s v="Desk Chair"/>
        <s v="Laptop"/>
        <s v="Keyboard"/>
        <s v="Monitor"/>
        <s v="Printer"/>
        <s v="Blender"/>
        <s v="Office Desk"/>
        <s v="Kettle"/>
      </sharedItems>
    </cacheField>
    <cacheField name="Category" numFmtId="0">
      <sharedItems/>
    </cacheField>
    <cacheField name="Quantity" numFmtId="0">
      <sharedItems containsString="0" containsBlank="1" containsNumber="1" containsInteger="1" minValue="1" maxValue="6"/>
    </cacheField>
    <cacheField name="Unit_Price_ZAR" numFmtId="0">
      <sharedItems containsSemiMixedTypes="0" containsString="0" containsNumber="1" containsInteger="1" minValue="520" maxValue="12500"/>
    </cacheField>
    <cacheField name="Unit_Cost_ZAR" numFmtId="0">
      <sharedItems containsSemiMixedTypes="0" containsString="0" containsNumber="1" containsInteger="1" minValue="290" maxValue="9400"/>
    </cacheField>
    <cacheField name="Discount_Pct" numFmtId="0">
      <sharedItems containsString="0" containsBlank="1" containsNumber="1" minValue="0" maxValue="0.15"/>
    </cacheField>
    <cacheField name="Data_Quality_Status" numFmtId="0">
      <sharedItems/>
    </cacheField>
    <cacheField name="Gross_Revenue_ZAR" numFmtId="166">
      <sharedItems containsMixedTypes="1" containsNumber="1" containsInteger="1" minValue="520" maxValue="75000"/>
    </cacheField>
    <cacheField name="Net_Revenue_ZAR" numFmtId="166">
      <sharedItems containsMixedTypes="1" containsNumber="1" minValue="520" maxValue="75000"/>
    </cacheField>
    <cacheField name="Gross_Profit_ZAR" numFmtId="166">
      <sharedItems containsMixedTypes="1" containsNumber="1" minValue="230" maxValue="18600"/>
    </cacheField>
    <cacheField name="Months (Order_Date)" numFmtId="0" databaseField="0">
      <fieldGroup base="1">
        <rangePr groupBy="months" startDate="2025-01-01T00:00:00" endDate="2026-01-01T00:00:00"/>
        <groupItems count="14">
          <s v="&lt;2025/01/01"/>
          <s v="Jan"/>
          <s v="Feb"/>
          <s v="Mar"/>
          <s v="Apr"/>
          <s v="May"/>
          <s v="Jun"/>
          <s v="Jul"/>
          <s v="Aug"/>
          <s v="Sep"/>
          <s v="Oct"/>
          <s v="Nov"/>
          <s v="Dec"/>
          <s v="&gt;2026/01/01"/>
        </groupItems>
      </fieldGroup>
    </cacheField>
    <cacheField name="Years (Order_Date)" numFmtId="0" databaseField="0">
      <fieldGroup base="1">
        <rangePr groupBy="years" startDate="2025-01-01T00:00:00" endDate="2026-01-01T00:00:00"/>
        <groupItems count="4">
          <s v="&lt;2025/01/01"/>
          <s v="2025"/>
          <s v="2026"/>
          <s v="&gt;2026/01/01"/>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
  <r>
    <s v="ORD-0001"/>
    <x v="0"/>
    <x v="0"/>
    <x v="0"/>
    <s v="Home Appliances"/>
    <n v="2"/>
    <n v="1850"/>
    <n v="1200"/>
    <n v="0.05"/>
    <s v="Complete"/>
    <n v="3700"/>
    <n v="3515"/>
    <n v="1115"/>
  </r>
  <r>
    <s v="ORD-0002"/>
    <x v="1"/>
    <x v="0"/>
    <x v="1"/>
    <s v="Office Equipment"/>
    <n v="6"/>
    <n v="2100"/>
    <n v="1350"/>
    <n v="0.1"/>
    <s v="Complete"/>
    <n v="12600"/>
    <n v="11340"/>
    <n v="3240"/>
  </r>
  <r>
    <s v="ORD-0003"/>
    <x v="2"/>
    <x v="1"/>
    <x v="2"/>
    <s v="Electronics"/>
    <n v="1"/>
    <n v="12500"/>
    <n v="9400"/>
    <n v="0.05"/>
    <s v="Complete"/>
    <n v="12500"/>
    <n v="11875"/>
    <n v="2475"/>
  </r>
  <r>
    <s v="ORD-0004"/>
    <x v="3"/>
    <x v="2"/>
    <x v="3"/>
    <s v="Electronics"/>
    <n v="3"/>
    <n v="650"/>
    <n v="340"/>
    <n v="0"/>
    <s v="Complete"/>
    <n v="1950"/>
    <n v="1950"/>
    <n v="930"/>
  </r>
  <r>
    <s v="ORD-0005"/>
    <x v="4"/>
    <x v="1"/>
    <x v="1"/>
    <s v="Office Equipment"/>
    <n v="5"/>
    <n v="2100"/>
    <n v="1350"/>
    <n v="0"/>
    <s v="Complete"/>
    <n v="10500"/>
    <n v="10500"/>
    <n v="3750"/>
  </r>
  <r>
    <s v="ORD-0006"/>
    <x v="5"/>
    <x v="0"/>
    <x v="4"/>
    <s v="Electronics"/>
    <n v="3"/>
    <n v="3400"/>
    <n v="2300"/>
    <n v="0.15"/>
    <s v="Complete"/>
    <n v="10200"/>
    <n v="8670"/>
    <n v="1770"/>
  </r>
  <r>
    <s v="ORD-0007"/>
    <x v="6"/>
    <x v="3"/>
    <x v="5"/>
    <s v="Office Equipment"/>
    <n v="6"/>
    <n v="2800"/>
    <n v="1900"/>
    <n v="0.05"/>
    <s v="Complete"/>
    <n v="16800"/>
    <n v="15960"/>
    <n v="4560"/>
  </r>
  <r>
    <s v="ORD-0008"/>
    <x v="7"/>
    <x v="1"/>
    <x v="3"/>
    <s v="Electronics"/>
    <n v="1"/>
    <n v="650"/>
    <n v="340"/>
    <n v="0"/>
    <s v="Complete"/>
    <n v="650"/>
    <n v="650"/>
    <n v="310"/>
  </r>
  <r>
    <s v="ORD-0009"/>
    <x v="8"/>
    <x v="2"/>
    <x v="3"/>
    <s v="Electronics"/>
    <n v="2"/>
    <n v="650"/>
    <n v="340"/>
    <n v="0"/>
    <s v="Complete"/>
    <n v="1300"/>
    <n v="1300"/>
    <n v="620"/>
  </r>
  <r>
    <s v="ORD-0010"/>
    <x v="9"/>
    <x v="0"/>
    <x v="1"/>
    <s v="Office Equipment"/>
    <n v="1"/>
    <n v="2100"/>
    <n v="1350"/>
    <n v="0.1"/>
    <s v="Complete"/>
    <n v="2100"/>
    <n v="1890"/>
    <n v="540"/>
  </r>
  <r>
    <s v="ORD-0011"/>
    <x v="10"/>
    <x v="3"/>
    <x v="3"/>
    <s v="Electronics"/>
    <n v="1"/>
    <n v="650"/>
    <n v="340"/>
    <n v="0"/>
    <s v="Complete"/>
    <n v="650"/>
    <n v="650"/>
    <n v="310"/>
  </r>
  <r>
    <s v="ORD-0012"/>
    <x v="11"/>
    <x v="0"/>
    <x v="0"/>
    <s v="Home Appliances"/>
    <n v="1"/>
    <n v="1850"/>
    <n v="1200"/>
    <n v="0.05"/>
    <s v="Complete"/>
    <n v="1850"/>
    <n v="1757.5"/>
    <n v="557.5"/>
  </r>
  <r>
    <s v="ORD-0013"/>
    <x v="12"/>
    <x v="1"/>
    <x v="2"/>
    <s v="Electronics"/>
    <n v="4"/>
    <n v="12500"/>
    <n v="9400"/>
    <n v="0"/>
    <s v="Complete"/>
    <n v="50000"/>
    <n v="50000"/>
    <n v="12400"/>
  </r>
  <r>
    <s v="ORD-0014"/>
    <x v="13"/>
    <x v="0"/>
    <x v="2"/>
    <s v="Electronics"/>
    <n v="4"/>
    <n v="12500"/>
    <n v="9400"/>
    <n v="0.15"/>
    <s v="Complete"/>
    <n v="50000"/>
    <n v="42500"/>
    <n v="4900"/>
  </r>
  <r>
    <s v="ORD-0015"/>
    <x v="14"/>
    <x v="1"/>
    <x v="0"/>
    <s v="Home Appliances"/>
    <n v="3"/>
    <n v="1850"/>
    <n v="1200"/>
    <n v="0.1"/>
    <s v="Complete"/>
    <n v="5550"/>
    <n v="4995"/>
    <n v="1395"/>
  </r>
  <r>
    <s v="ORD-0016"/>
    <x v="15"/>
    <x v="1"/>
    <x v="2"/>
    <s v="Electronics"/>
    <n v="3"/>
    <n v="12500"/>
    <n v="9400"/>
    <n v="0"/>
    <s v="Complete"/>
    <n v="37500"/>
    <n v="37500"/>
    <n v="9300"/>
  </r>
  <r>
    <s v="ORD-0017"/>
    <x v="16"/>
    <x v="3"/>
    <x v="3"/>
    <s v="Electronics"/>
    <n v="6"/>
    <n v="650"/>
    <n v="340"/>
    <n v="0.15"/>
    <s v="Complete"/>
    <n v="3900"/>
    <n v="3315"/>
    <n v="1275"/>
  </r>
  <r>
    <s v="ORD-0018"/>
    <x v="17"/>
    <x v="3"/>
    <x v="4"/>
    <s v="Electronics"/>
    <n v="4"/>
    <n v="3400"/>
    <n v="2300"/>
    <n v="0.15"/>
    <s v="Complete"/>
    <n v="13600"/>
    <n v="11560"/>
    <n v="2360"/>
  </r>
  <r>
    <s v="ORD-0019"/>
    <x v="18"/>
    <x v="1"/>
    <x v="4"/>
    <s v="Electronics"/>
    <n v="5"/>
    <n v="3400"/>
    <n v="2300"/>
    <n v="0"/>
    <s v="Complete"/>
    <n v="17000"/>
    <n v="17000"/>
    <n v="5500"/>
  </r>
  <r>
    <s v="ORD-0020"/>
    <x v="19"/>
    <x v="1"/>
    <x v="5"/>
    <s v="Office Equipment"/>
    <n v="6"/>
    <n v="2800"/>
    <n v="1900"/>
    <n v="0.05"/>
    <s v="Complete"/>
    <n v="16800"/>
    <n v="15960"/>
    <n v="4560"/>
  </r>
  <r>
    <s v="ORD-0021"/>
    <x v="20"/>
    <x v="0"/>
    <x v="0"/>
    <s v="Home Appliances"/>
    <n v="6"/>
    <n v="1850"/>
    <n v="1200"/>
    <n v="0"/>
    <s v="Complete"/>
    <n v="11100"/>
    <n v="11100"/>
    <n v="3900"/>
  </r>
  <r>
    <s v="ORD-0022"/>
    <x v="21"/>
    <x v="2"/>
    <x v="6"/>
    <s v="Home Appliances"/>
    <n v="2"/>
    <n v="1100"/>
    <n v="650"/>
    <n v="0"/>
    <s v="Complete"/>
    <n v="2200"/>
    <n v="2200"/>
    <n v="900"/>
  </r>
  <r>
    <s v="ORD-0023"/>
    <x v="22"/>
    <x v="0"/>
    <x v="0"/>
    <s v="Home Appliances"/>
    <n v="5"/>
    <n v="1850"/>
    <n v="1200"/>
    <n v="0.05"/>
    <s v="Complete"/>
    <n v="9250"/>
    <n v="8787.5"/>
    <n v="2787.5"/>
  </r>
  <r>
    <s v="ORD-0024"/>
    <x v="23"/>
    <x v="3"/>
    <x v="1"/>
    <s v="Office Equipment"/>
    <n v="2"/>
    <n v="2100"/>
    <n v="1350"/>
    <n v="0.1"/>
    <s v="Complete"/>
    <n v="4200"/>
    <n v="3780"/>
    <n v="1080"/>
  </r>
  <r>
    <s v="ORD-0025"/>
    <x v="24"/>
    <x v="0"/>
    <x v="3"/>
    <s v="Electronics"/>
    <n v="2"/>
    <n v="650"/>
    <n v="340"/>
    <n v="0.05"/>
    <s v="Complete"/>
    <n v="1300"/>
    <n v="1235"/>
    <n v="555"/>
  </r>
  <r>
    <s v="ORD-0026"/>
    <x v="25"/>
    <x v="2"/>
    <x v="5"/>
    <s v="Office Equipment"/>
    <n v="5"/>
    <n v="2800"/>
    <n v="1900"/>
    <n v="0.1"/>
    <s v="Complete"/>
    <n v="14000"/>
    <n v="12600"/>
    <n v="3100"/>
  </r>
  <r>
    <s v="ORD-0027"/>
    <x v="26"/>
    <x v="0"/>
    <x v="3"/>
    <s v="Electronics"/>
    <n v="2"/>
    <n v="650"/>
    <n v="340"/>
    <n v="0.05"/>
    <s v="Complete"/>
    <n v="1300"/>
    <n v="1235"/>
    <n v="555"/>
  </r>
  <r>
    <s v="ORD-0028"/>
    <x v="27"/>
    <x v="1"/>
    <x v="4"/>
    <s v="Electronics"/>
    <n v="6"/>
    <n v="3400"/>
    <n v="2300"/>
    <n v="0"/>
    <s v="Complete"/>
    <n v="20400"/>
    <n v="20400"/>
    <n v="6600"/>
  </r>
  <r>
    <s v="ORD-0029"/>
    <x v="28"/>
    <x v="0"/>
    <x v="6"/>
    <s v="Home Appliances"/>
    <n v="3"/>
    <n v="1100"/>
    <n v="650"/>
    <n v="0"/>
    <s v="Complete"/>
    <n v="3300"/>
    <n v="3300"/>
    <n v="1350"/>
  </r>
  <r>
    <s v="ORD-0030"/>
    <x v="29"/>
    <x v="0"/>
    <x v="7"/>
    <s v="Office Equipment"/>
    <n v="6"/>
    <n v="3900"/>
    <n v="2700"/>
    <n v="0"/>
    <s v="Complete"/>
    <n v="23400"/>
    <n v="23400"/>
    <n v="7200"/>
  </r>
  <r>
    <s v="ORD-0031"/>
    <x v="30"/>
    <x v="1"/>
    <x v="3"/>
    <s v="Electronics"/>
    <n v="2"/>
    <n v="650"/>
    <n v="340"/>
    <n v="0.05"/>
    <s v="Complete"/>
    <n v="1300"/>
    <n v="1235"/>
    <n v="555"/>
  </r>
  <r>
    <s v="ORD-0032"/>
    <x v="31"/>
    <x v="1"/>
    <x v="4"/>
    <s v="Electronics"/>
    <n v="5"/>
    <n v="3400"/>
    <n v="2300"/>
    <n v="0.15"/>
    <s v="Complete"/>
    <n v="17000"/>
    <n v="14450"/>
    <n v="2950"/>
  </r>
  <r>
    <s v="ORD-0033"/>
    <x v="24"/>
    <x v="1"/>
    <x v="7"/>
    <s v="Office Equipment"/>
    <n v="3"/>
    <n v="3900"/>
    <n v="2700"/>
    <n v="0"/>
    <s v="Complete"/>
    <n v="11700"/>
    <n v="11700"/>
    <n v="3600"/>
  </r>
  <r>
    <s v="ORD-0034"/>
    <x v="32"/>
    <x v="3"/>
    <x v="3"/>
    <s v="Electronics"/>
    <n v="5"/>
    <n v="650"/>
    <n v="340"/>
    <n v="0"/>
    <s v="Complete"/>
    <n v="3250"/>
    <n v="3250"/>
    <n v="1550"/>
  </r>
  <r>
    <s v="ORD-0035"/>
    <x v="33"/>
    <x v="0"/>
    <x v="4"/>
    <s v="Electronics"/>
    <n v="5"/>
    <n v="3400"/>
    <n v="2300"/>
    <n v="0.05"/>
    <s v="Complete"/>
    <n v="17000"/>
    <n v="16150"/>
    <n v="4650"/>
  </r>
  <r>
    <s v="ORD-0036"/>
    <x v="34"/>
    <x v="3"/>
    <x v="1"/>
    <s v="Office Equipment"/>
    <n v="6"/>
    <n v="2100"/>
    <n v="1350"/>
    <n v="0"/>
    <s v="Complete"/>
    <n v="12600"/>
    <n v="12600"/>
    <n v="4500"/>
  </r>
  <r>
    <s v="ORD-0037"/>
    <x v="35"/>
    <x v="1"/>
    <x v="4"/>
    <s v="Electronics"/>
    <n v="4"/>
    <n v="3400"/>
    <n v="2300"/>
    <n v="0"/>
    <s v="Complete"/>
    <n v="13600"/>
    <n v="13600"/>
    <n v="4400"/>
  </r>
  <r>
    <s v="ORD-0038"/>
    <x v="36"/>
    <x v="2"/>
    <x v="8"/>
    <s v="Home Appliances"/>
    <n v="3"/>
    <n v="520"/>
    <n v="290"/>
    <n v="0"/>
    <s v="Complete"/>
    <n v="1560"/>
    <n v="1560"/>
    <n v="690"/>
  </r>
  <r>
    <s v="ORD-0039"/>
    <x v="37"/>
    <x v="1"/>
    <x v="5"/>
    <s v="Office Equipment"/>
    <n v="5"/>
    <n v="2800"/>
    <n v="1900"/>
    <n v="0.05"/>
    <s v="Complete"/>
    <n v="14000"/>
    <n v="13300"/>
    <n v="3800"/>
  </r>
  <r>
    <s v="ORD-0040"/>
    <x v="38"/>
    <x v="3"/>
    <x v="2"/>
    <s v="Electronics"/>
    <n v="6"/>
    <n v="12500"/>
    <n v="9400"/>
    <n v="0.15"/>
    <s v="Complete"/>
    <n v="75000"/>
    <n v="63750"/>
    <n v="7350"/>
  </r>
  <r>
    <s v="ORD-0041"/>
    <x v="39"/>
    <x v="3"/>
    <x v="6"/>
    <s v="Home Appliances"/>
    <n v="6"/>
    <n v="1100"/>
    <n v="650"/>
    <n v="0"/>
    <s v="Complete"/>
    <n v="6600"/>
    <n v="6600"/>
    <n v="2700"/>
  </r>
  <r>
    <s v="ORD-0042"/>
    <x v="40"/>
    <x v="0"/>
    <x v="0"/>
    <s v="Home Appliances"/>
    <n v="3"/>
    <n v="1850"/>
    <n v="1200"/>
    <n v="0.1"/>
    <s v="Complete"/>
    <n v="5550"/>
    <n v="4995"/>
    <n v="1395"/>
  </r>
  <r>
    <s v="ORD-0043"/>
    <x v="41"/>
    <x v="3"/>
    <x v="3"/>
    <s v="Electronics"/>
    <n v="2"/>
    <n v="650"/>
    <n v="340"/>
    <n v="0"/>
    <s v="Complete"/>
    <n v="1300"/>
    <n v="1300"/>
    <n v="620"/>
  </r>
  <r>
    <s v="ORD-0044"/>
    <x v="42"/>
    <x v="0"/>
    <x v="6"/>
    <s v="Home Appliances"/>
    <n v="6"/>
    <n v="1100"/>
    <n v="650"/>
    <n v="0.1"/>
    <s v="Complete"/>
    <n v="6600"/>
    <n v="5940"/>
    <n v="2040"/>
  </r>
  <r>
    <s v="ORD-0045"/>
    <x v="43"/>
    <x v="0"/>
    <x v="6"/>
    <s v="Home Appliances"/>
    <n v="3"/>
    <n v="1100"/>
    <n v="650"/>
    <n v="0.1"/>
    <s v="Complete"/>
    <n v="3300"/>
    <n v="2970"/>
    <n v="1020"/>
  </r>
  <r>
    <s v="ORD-0046"/>
    <x v="44"/>
    <x v="3"/>
    <x v="2"/>
    <s v="Electronics"/>
    <n v="6"/>
    <n v="12500"/>
    <n v="9400"/>
    <n v="0"/>
    <s v="Complete"/>
    <n v="75000"/>
    <n v="75000"/>
    <n v="18600"/>
  </r>
  <r>
    <s v="ORD-0047"/>
    <x v="45"/>
    <x v="0"/>
    <x v="0"/>
    <s v="Home Appliances"/>
    <n v="3"/>
    <n v="1850"/>
    <n v="1200"/>
    <n v="0.1"/>
    <s v="Complete"/>
    <n v="5550"/>
    <n v="4995"/>
    <n v="1395"/>
  </r>
  <r>
    <s v="ORD-0048"/>
    <x v="46"/>
    <x v="0"/>
    <x v="6"/>
    <s v="Home Appliances"/>
    <n v="1"/>
    <n v="1100"/>
    <n v="650"/>
    <n v="0.1"/>
    <s v="Complete"/>
    <n v="1100"/>
    <n v="990"/>
    <n v="340"/>
  </r>
  <r>
    <s v="ORD-0049"/>
    <x v="47"/>
    <x v="0"/>
    <x v="6"/>
    <s v="Home Appliances"/>
    <n v="2"/>
    <n v="1100"/>
    <n v="650"/>
    <n v="0"/>
    <s v="Complete"/>
    <n v="2200"/>
    <n v="2200"/>
    <n v="900"/>
  </r>
  <r>
    <s v="ORD-0050"/>
    <x v="48"/>
    <x v="3"/>
    <x v="8"/>
    <s v="Home Appliances"/>
    <n v="4"/>
    <n v="520"/>
    <n v="290"/>
    <n v="0"/>
    <s v="Complete"/>
    <n v="2080"/>
    <n v="2080"/>
    <n v="920"/>
  </r>
  <r>
    <s v="ORD-0051"/>
    <x v="49"/>
    <x v="0"/>
    <x v="1"/>
    <s v="Office Equipment"/>
    <n v="1"/>
    <n v="2100"/>
    <n v="1350"/>
    <n v="0.1"/>
    <s v="Complete"/>
    <n v="2100"/>
    <n v="1890"/>
    <n v="540"/>
  </r>
  <r>
    <s v="ORD-0052"/>
    <x v="50"/>
    <x v="1"/>
    <x v="7"/>
    <s v="Office Equipment"/>
    <n v="6"/>
    <n v="3900"/>
    <n v="2700"/>
    <n v="0"/>
    <s v="Complete"/>
    <n v="23400"/>
    <n v="23400"/>
    <n v="7200"/>
  </r>
  <r>
    <s v="ORD-0053"/>
    <x v="51"/>
    <x v="0"/>
    <x v="6"/>
    <s v="Home Appliances"/>
    <n v="3"/>
    <n v="1100"/>
    <n v="650"/>
    <n v="0.05"/>
    <s v="Complete"/>
    <n v="3300"/>
    <n v="3135"/>
    <n v="1185"/>
  </r>
  <r>
    <s v="ORD-0054"/>
    <x v="52"/>
    <x v="3"/>
    <x v="7"/>
    <s v="Office Equipment"/>
    <n v="2"/>
    <n v="3900"/>
    <n v="2700"/>
    <n v="0"/>
    <s v="Complete"/>
    <n v="7800"/>
    <n v="7800"/>
    <n v="2400"/>
  </r>
  <r>
    <s v="ORD-0055"/>
    <x v="53"/>
    <x v="0"/>
    <x v="3"/>
    <s v="Electronics"/>
    <n v="1"/>
    <n v="650"/>
    <n v="340"/>
    <n v="0"/>
    <s v="Complete"/>
    <n v="650"/>
    <n v="650"/>
    <n v="310"/>
  </r>
  <r>
    <s v="ORD-0056"/>
    <x v="54"/>
    <x v="0"/>
    <x v="1"/>
    <s v="Office Equipment"/>
    <n v="1"/>
    <n v="2100"/>
    <n v="1350"/>
    <n v="0"/>
    <s v="Complete"/>
    <n v="2100"/>
    <n v="2100"/>
    <n v="750"/>
  </r>
  <r>
    <s v="ORD-0057"/>
    <x v="55"/>
    <x v="2"/>
    <x v="2"/>
    <s v="Electronics"/>
    <n v="6"/>
    <n v="12500"/>
    <n v="9400"/>
    <n v="0"/>
    <s v="Complete"/>
    <n v="75000"/>
    <n v="75000"/>
    <n v="18600"/>
  </r>
  <r>
    <s v="ORD-0058"/>
    <x v="3"/>
    <x v="2"/>
    <x v="2"/>
    <s v="Electronics"/>
    <n v="3"/>
    <n v="12500"/>
    <n v="9400"/>
    <n v="0.1"/>
    <s v="Complete"/>
    <n v="37500"/>
    <n v="33750"/>
    <n v="5550"/>
  </r>
  <r>
    <s v="ORD-0059"/>
    <x v="56"/>
    <x v="2"/>
    <x v="1"/>
    <s v="Office Equipment"/>
    <n v="4"/>
    <n v="2100"/>
    <n v="1350"/>
    <n v="0.1"/>
    <s v="Complete"/>
    <n v="8400"/>
    <n v="7560"/>
    <n v="2160"/>
  </r>
  <r>
    <s v="ORD-0060"/>
    <x v="57"/>
    <x v="1"/>
    <x v="0"/>
    <s v="Electronics"/>
    <n v="6"/>
    <n v="1850"/>
    <n v="1200"/>
    <n v="0.15"/>
    <s v="Complete"/>
    <n v="11100"/>
    <n v="9435"/>
    <n v="2235"/>
  </r>
  <r>
    <s v="ORD-0061"/>
    <x v="58"/>
    <x v="0"/>
    <x v="6"/>
    <s v="Home Appliances"/>
    <n v="6"/>
    <n v="1100"/>
    <n v="650"/>
    <n v="0"/>
    <s v="Complete"/>
    <n v="6600"/>
    <n v="6600"/>
    <n v="2700"/>
  </r>
  <r>
    <s v="ORD-0062"/>
    <x v="39"/>
    <x v="3"/>
    <x v="5"/>
    <s v="Office Equipment"/>
    <n v="5"/>
    <n v="2800"/>
    <n v="1900"/>
    <n v="0"/>
    <s v="Complete"/>
    <n v="14000"/>
    <n v="14000"/>
    <n v="4500"/>
  </r>
  <r>
    <s v="ORD-0063"/>
    <x v="59"/>
    <x v="0"/>
    <x v="5"/>
    <s v="Office Equipment"/>
    <n v="3"/>
    <n v="2800"/>
    <n v="1900"/>
    <n v="0"/>
    <s v="Complete"/>
    <n v="8400"/>
    <n v="8400"/>
    <n v="2700"/>
  </r>
  <r>
    <s v="ORD-0064"/>
    <x v="60"/>
    <x v="0"/>
    <x v="1"/>
    <s v="Office Equipment"/>
    <n v="1"/>
    <n v="2100"/>
    <n v="1350"/>
    <n v="0"/>
    <s v="Complete"/>
    <n v="2100"/>
    <n v="2100"/>
    <n v="750"/>
  </r>
  <r>
    <s v="ORD-0065"/>
    <x v="61"/>
    <x v="1"/>
    <x v="1"/>
    <s v="Office Equipment"/>
    <n v="5"/>
    <n v="2100"/>
    <n v="1350"/>
    <n v="0.1"/>
    <s v="Complete"/>
    <n v="10500"/>
    <n v="9450"/>
    <n v="2700"/>
  </r>
  <r>
    <s v="ORD-0066"/>
    <x v="62"/>
    <x v="1"/>
    <x v="2"/>
    <s v="Electronics"/>
    <n v="2"/>
    <n v="12500"/>
    <n v="9400"/>
    <n v="0"/>
    <s v="Complete"/>
    <n v="25000"/>
    <n v="25000"/>
    <n v="6200"/>
  </r>
  <r>
    <s v="ORD-0067"/>
    <x v="63"/>
    <x v="2"/>
    <x v="0"/>
    <s v="Home Appliances"/>
    <n v="4"/>
    <n v="1850"/>
    <n v="1200"/>
    <n v="0.05"/>
    <s v="Complete"/>
    <n v="7400"/>
    <n v="7030"/>
    <n v="2230"/>
  </r>
  <r>
    <s v="ORD-0068"/>
    <x v="64"/>
    <x v="3"/>
    <x v="5"/>
    <s v="Office Equipment"/>
    <n v="1"/>
    <n v="2800"/>
    <n v="1900"/>
    <n v="0"/>
    <s v="Complete"/>
    <n v="2800"/>
    <n v="2800"/>
    <n v="900"/>
  </r>
  <r>
    <s v="ORD-0069"/>
    <x v="65"/>
    <x v="0"/>
    <x v="7"/>
    <s v="Office Equipment"/>
    <n v="4"/>
    <n v="3900"/>
    <n v="2700"/>
    <n v="0.15"/>
    <s v="Complete"/>
    <n v="15600"/>
    <n v="13260"/>
    <n v="2460"/>
  </r>
  <r>
    <s v="ORD-0070"/>
    <x v="66"/>
    <x v="1"/>
    <x v="4"/>
    <s v="Electronics"/>
    <n v="4"/>
    <n v="3400"/>
    <n v="2300"/>
    <n v="0.1"/>
    <s v="Complete"/>
    <n v="13600"/>
    <n v="12240"/>
    <n v="3040"/>
  </r>
  <r>
    <s v="ORD-0071"/>
    <x v="67"/>
    <x v="1"/>
    <x v="2"/>
    <s v="Electronics"/>
    <n v="4"/>
    <n v="12500"/>
    <n v="9400"/>
    <n v="0.15"/>
    <s v="Complete"/>
    <n v="50000"/>
    <n v="42500"/>
    <n v="4900"/>
  </r>
  <r>
    <s v="ORD-0072"/>
    <x v="68"/>
    <x v="3"/>
    <x v="4"/>
    <s v="Electronics"/>
    <n v="6"/>
    <n v="3400"/>
    <n v="2300"/>
    <n v="0"/>
    <s v="Complete"/>
    <n v="20400"/>
    <n v="20400"/>
    <n v="6600"/>
  </r>
  <r>
    <s v="ORD-0073"/>
    <x v="48"/>
    <x v="2"/>
    <x v="2"/>
    <s v="Electronics"/>
    <n v="5"/>
    <n v="12500"/>
    <n v="9400"/>
    <n v="0"/>
    <s v="Complete"/>
    <n v="62500"/>
    <n v="62500"/>
    <n v="15500"/>
  </r>
  <r>
    <s v="ORD-0074"/>
    <x v="69"/>
    <x v="0"/>
    <x v="8"/>
    <s v="Home Appliances"/>
    <n v="1"/>
    <n v="520"/>
    <n v="290"/>
    <n v="0"/>
    <s v="Complete"/>
    <n v="520"/>
    <n v="520"/>
    <n v="230"/>
  </r>
  <r>
    <s v="ORD-0075"/>
    <x v="70"/>
    <x v="1"/>
    <x v="4"/>
    <s v="Electronics"/>
    <n v="3"/>
    <n v="3400"/>
    <n v="2300"/>
    <n v="0.05"/>
    <s v="Complete"/>
    <n v="10200"/>
    <n v="9690"/>
    <n v="2790"/>
  </r>
  <r>
    <s v="ORD-0076"/>
    <x v="71"/>
    <x v="3"/>
    <x v="5"/>
    <s v="Office Equipment"/>
    <n v="5"/>
    <n v="2800"/>
    <n v="1900"/>
    <n v="0"/>
    <s v="Complete"/>
    <n v="14000"/>
    <n v="14000"/>
    <n v="4500"/>
  </r>
  <r>
    <s v="ORD-0077"/>
    <x v="72"/>
    <x v="1"/>
    <x v="6"/>
    <s v="Home Appliances"/>
    <n v="6"/>
    <n v="1100"/>
    <n v="650"/>
    <n v="0.15"/>
    <s v="Complete"/>
    <n v="6600"/>
    <n v="5610"/>
    <n v="1710"/>
  </r>
  <r>
    <s v="ORD-0078"/>
    <x v="73"/>
    <x v="0"/>
    <x v="1"/>
    <s v="Office Equipment"/>
    <n v="6"/>
    <n v="2100"/>
    <n v="1350"/>
    <n v="0"/>
    <s v="Complete"/>
    <n v="12600"/>
    <n v="12600"/>
    <n v="4500"/>
  </r>
  <r>
    <s v="ORD-0079"/>
    <x v="74"/>
    <x v="1"/>
    <x v="1"/>
    <s v="Office Equipment"/>
    <n v="1"/>
    <n v="2100"/>
    <n v="1350"/>
    <n v="0"/>
    <s v="Complete"/>
    <n v="2100"/>
    <n v="2100"/>
    <n v="750"/>
  </r>
  <r>
    <s v="ORD-0080"/>
    <x v="75"/>
    <x v="0"/>
    <x v="6"/>
    <s v="Home Appliances"/>
    <n v="6"/>
    <n v="1100"/>
    <n v="650"/>
    <n v="0"/>
    <s v="Complete"/>
    <n v="6600"/>
    <n v="6600"/>
    <n v="2700"/>
  </r>
  <r>
    <s v="ORD-0081"/>
    <x v="76"/>
    <x v="2"/>
    <x v="4"/>
    <s v="Electronics"/>
    <n v="3"/>
    <n v="3400"/>
    <n v="2300"/>
    <n v="0"/>
    <s v="Complete"/>
    <n v="10200"/>
    <n v="10200"/>
    <n v="3300"/>
  </r>
  <r>
    <s v="ORD-0082"/>
    <x v="77"/>
    <x v="2"/>
    <x v="3"/>
    <s v="Electronics"/>
    <n v="2"/>
    <n v="650"/>
    <n v="340"/>
    <n v="0"/>
    <s v="Complete"/>
    <n v="1300"/>
    <n v="1300"/>
    <n v="620"/>
  </r>
  <r>
    <s v="ORD-0083"/>
    <x v="78"/>
    <x v="0"/>
    <x v="7"/>
    <s v="Office Equipment"/>
    <n v="4"/>
    <n v="3900"/>
    <n v="2700"/>
    <n v="0"/>
    <s v="Complete"/>
    <n v="15600"/>
    <n v="15600"/>
    <n v="4800"/>
  </r>
  <r>
    <s v="ORD-0084"/>
    <x v="6"/>
    <x v="1"/>
    <x v="4"/>
    <s v="Electronics"/>
    <n v="1"/>
    <n v="3400"/>
    <n v="2300"/>
    <n v="0"/>
    <s v="Complete"/>
    <n v="3400"/>
    <n v="3400"/>
    <n v="1100"/>
  </r>
  <r>
    <s v="ORD-0085"/>
    <x v="79"/>
    <x v="0"/>
    <x v="3"/>
    <s v="Electronics"/>
    <n v="3"/>
    <n v="650"/>
    <n v="340"/>
    <n v="0"/>
    <s v="Complete"/>
    <n v="1950"/>
    <n v="1950"/>
    <n v="930"/>
  </r>
  <r>
    <s v="ORD-0086"/>
    <x v="80"/>
    <x v="0"/>
    <x v="5"/>
    <s v="Office Equipment"/>
    <n v="3"/>
    <n v="2800"/>
    <n v="1900"/>
    <n v="0"/>
    <s v="Complete"/>
    <n v="8400"/>
    <n v="8400"/>
    <n v="2700"/>
  </r>
  <r>
    <s v="ORD-0087"/>
    <x v="81"/>
    <x v="0"/>
    <x v="3"/>
    <s v="Electronics"/>
    <n v="4"/>
    <n v="650"/>
    <n v="340"/>
    <n v="0"/>
    <s v="Complete"/>
    <n v="2600"/>
    <n v="2600"/>
    <n v="1240"/>
  </r>
  <r>
    <s v="ORD-0088"/>
    <x v="21"/>
    <x v="0"/>
    <x v="6"/>
    <s v="Home Appliances"/>
    <n v="2"/>
    <n v="1100"/>
    <n v="650"/>
    <n v="0"/>
    <s v="Complete"/>
    <n v="2200"/>
    <n v="2200"/>
    <n v="900"/>
  </r>
  <r>
    <s v="ORD-0089"/>
    <x v="82"/>
    <x v="1"/>
    <x v="4"/>
    <s v="Electronics"/>
    <n v="4"/>
    <n v="3400"/>
    <n v="2300"/>
    <n v="0.05"/>
    <s v="Complete"/>
    <n v="13600"/>
    <n v="12920"/>
    <n v="3720"/>
  </r>
  <r>
    <s v="ORD-0090"/>
    <x v="27"/>
    <x v="1"/>
    <x v="7"/>
    <s v="Office Equipment"/>
    <n v="3"/>
    <n v="3900"/>
    <n v="2700"/>
    <n v="0.05"/>
    <s v="Complete"/>
    <n v="11700"/>
    <n v="11115"/>
    <n v="3015"/>
  </r>
  <r>
    <s v="ORD-0091"/>
    <x v="83"/>
    <x v="2"/>
    <x v="1"/>
    <s v="Office Equipment"/>
    <n v="1"/>
    <n v="2100"/>
    <n v="1350"/>
    <n v="0.05"/>
    <s v="Complete"/>
    <n v="2100"/>
    <n v="1995"/>
    <n v="645"/>
  </r>
  <r>
    <s v="ORD-0092"/>
    <x v="84"/>
    <x v="1"/>
    <x v="3"/>
    <s v="Electronics"/>
    <n v="4"/>
    <n v="650"/>
    <n v="340"/>
    <n v="0"/>
    <s v="Complete"/>
    <n v="2600"/>
    <n v="2600"/>
    <n v="1240"/>
  </r>
  <r>
    <s v="ORD-0093"/>
    <x v="85"/>
    <x v="0"/>
    <x v="8"/>
    <s v="Home Appliances"/>
    <n v="3"/>
    <n v="520"/>
    <n v="290"/>
    <n v="0"/>
    <s v="Complete"/>
    <n v="1560"/>
    <n v="1560"/>
    <n v="690"/>
  </r>
  <r>
    <s v="ORD-0094"/>
    <x v="86"/>
    <x v="0"/>
    <x v="4"/>
    <s v="Electronics"/>
    <n v="3"/>
    <n v="3400"/>
    <n v="2300"/>
    <n v="0"/>
    <s v="Complete"/>
    <n v="10200"/>
    <n v="10200"/>
    <n v="3300"/>
  </r>
  <r>
    <s v="ORD-0095"/>
    <x v="24"/>
    <x v="2"/>
    <x v="7"/>
    <s v="Office Equipment"/>
    <n v="5"/>
    <n v="3900"/>
    <n v="2700"/>
    <n v="0.15"/>
    <s v="Complete"/>
    <n v="19500"/>
    <n v="16575"/>
    <n v="3075"/>
  </r>
  <r>
    <s v="ORD-0096"/>
    <x v="87"/>
    <x v="3"/>
    <x v="6"/>
    <s v="Home Appliances"/>
    <n v="6"/>
    <n v="1100"/>
    <n v="650"/>
    <n v="0.15"/>
    <s v="Complete"/>
    <n v="6600"/>
    <n v="5610"/>
    <n v="1710"/>
  </r>
  <r>
    <s v="ORD-0097"/>
    <x v="88"/>
    <x v="1"/>
    <x v="0"/>
    <s v="Home Appliances"/>
    <n v="5"/>
    <n v="1850"/>
    <n v="1200"/>
    <n v="0.05"/>
    <s v="Complete"/>
    <n v="9250"/>
    <n v="8787.5"/>
    <n v="2787.5"/>
  </r>
  <r>
    <s v="ORD-0098"/>
    <x v="89"/>
    <x v="1"/>
    <x v="5"/>
    <s v="Office Equipment"/>
    <n v="2"/>
    <n v="2800"/>
    <n v="1900"/>
    <n v="0.05"/>
    <s v="Complete"/>
    <n v="5600"/>
    <n v="5320"/>
    <n v="1520"/>
  </r>
  <r>
    <s v="ORD-0099"/>
    <x v="68"/>
    <x v="2"/>
    <x v="3"/>
    <s v="Electronics"/>
    <n v="1"/>
    <n v="650"/>
    <n v="340"/>
    <n v="0.05"/>
    <s v="Complete"/>
    <n v="650"/>
    <n v="617.5"/>
    <n v="277.5"/>
  </r>
  <r>
    <s v="ORD-0100"/>
    <x v="90"/>
    <x v="1"/>
    <x v="5"/>
    <s v="Office Equipment"/>
    <n v="3"/>
    <n v="2800"/>
    <n v="1900"/>
    <n v="0.05"/>
    <s v="Complete"/>
    <n v="8400"/>
    <n v="7980"/>
    <n v="2280"/>
  </r>
  <r>
    <s v="ORD-0101"/>
    <x v="91"/>
    <x v="1"/>
    <x v="5"/>
    <s v="Office Equipment"/>
    <n v="4"/>
    <n v="2800"/>
    <n v="1900"/>
    <n v="0"/>
    <s v="Complete"/>
    <n v="11200"/>
    <n v="11200"/>
    <n v="3600"/>
  </r>
  <r>
    <s v="ORD-0102"/>
    <x v="92"/>
    <x v="0"/>
    <x v="1"/>
    <s v="Office Equipment"/>
    <n v="6"/>
    <n v="2100"/>
    <n v="1350"/>
    <n v="0"/>
    <s v="Complete"/>
    <n v="12600"/>
    <n v="12600"/>
    <n v="4500"/>
  </r>
  <r>
    <s v="ORD-0103"/>
    <x v="93"/>
    <x v="0"/>
    <x v="5"/>
    <s v="Office Equipment"/>
    <n v="6"/>
    <n v="2800"/>
    <n v="1900"/>
    <n v="0.1"/>
    <s v="Complete"/>
    <n v="16800"/>
    <n v="15120"/>
    <n v="3720"/>
  </r>
  <r>
    <s v="ORD-0104"/>
    <x v="94"/>
    <x v="3"/>
    <x v="3"/>
    <s v="Electronics"/>
    <m/>
    <n v="650"/>
    <n v="340"/>
    <n v="0.05"/>
    <s v="Incomplete"/>
    <s v=""/>
    <s v=""/>
    <s v=""/>
  </r>
  <r>
    <s v="ORD-0105"/>
    <x v="95"/>
    <x v="0"/>
    <x v="2"/>
    <s v="Electronics"/>
    <n v="5"/>
    <n v="12500"/>
    <n v="9400"/>
    <n v="0.05"/>
    <s v="Complete"/>
    <n v="62500"/>
    <n v="59375"/>
    <n v="12375"/>
  </r>
  <r>
    <s v="ORD-0106"/>
    <x v="96"/>
    <x v="2"/>
    <x v="0"/>
    <s v="Home Appliances"/>
    <n v="6"/>
    <n v="1850"/>
    <n v="1200"/>
    <n v="0.1"/>
    <s v="Complete"/>
    <n v="11100"/>
    <n v="9990"/>
    <n v="2790"/>
  </r>
  <r>
    <s v="ORD-0107"/>
    <x v="97"/>
    <x v="1"/>
    <x v="8"/>
    <s v="Home Appliances"/>
    <n v="1"/>
    <n v="520"/>
    <n v="290"/>
    <n v="0"/>
    <s v="Complete"/>
    <n v="520"/>
    <n v="520"/>
    <n v="230"/>
  </r>
  <r>
    <s v="ORD-0108"/>
    <x v="98"/>
    <x v="3"/>
    <x v="8"/>
    <s v="Home Appliances"/>
    <n v="1"/>
    <n v="520"/>
    <n v="290"/>
    <n v="0"/>
    <s v="Complete"/>
    <n v="520"/>
    <n v="520"/>
    <n v="230"/>
  </r>
  <r>
    <s v="ORD-0109"/>
    <x v="99"/>
    <x v="0"/>
    <x v="3"/>
    <s v="Electronics"/>
    <n v="6"/>
    <n v="650"/>
    <n v="340"/>
    <n v="0"/>
    <s v="Complete"/>
    <n v="3900"/>
    <n v="3900"/>
    <n v="1860"/>
  </r>
  <r>
    <s v="ORD-0110"/>
    <x v="100"/>
    <x v="1"/>
    <x v="6"/>
    <s v="Home Appliances"/>
    <n v="4"/>
    <n v="1100"/>
    <n v="650"/>
    <n v="0"/>
    <s v="Complete"/>
    <n v="4400"/>
    <n v="4400"/>
    <n v="1800"/>
  </r>
  <r>
    <s v="ORD-0111"/>
    <x v="101"/>
    <x v="0"/>
    <x v="1"/>
    <s v="Office Equipment"/>
    <n v="2"/>
    <n v="2100"/>
    <n v="1350"/>
    <n v="0"/>
    <s v="Complete"/>
    <n v="4200"/>
    <n v="4200"/>
    <n v="1500"/>
  </r>
  <r>
    <s v="ORD-0112"/>
    <x v="102"/>
    <x v="0"/>
    <x v="5"/>
    <s v="Office Equipment"/>
    <n v="5"/>
    <n v="2800"/>
    <n v="1900"/>
    <n v="0.05"/>
    <s v="Complete"/>
    <n v="14000"/>
    <n v="13300"/>
    <n v="3800"/>
  </r>
  <r>
    <s v="ORD-0113"/>
    <x v="13"/>
    <x v="3"/>
    <x v="2"/>
    <s v="Electronics"/>
    <n v="4"/>
    <n v="12500"/>
    <n v="9400"/>
    <n v="0"/>
    <s v="Complete"/>
    <n v="50000"/>
    <n v="50000"/>
    <n v="12400"/>
  </r>
  <r>
    <s v="ORD-0114"/>
    <x v="103"/>
    <x v="3"/>
    <x v="2"/>
    <s v="Electronics"/>
    <n v="6"/>
    <n v="12500"/>
    <n v="9400"/>
    <n v="0.15"/>
    <s v="Complete"/>
    <n v="75000"/>
    <n v="63750"/>
    <n v="7350"/>
  </r>
  <r>
    <s v="ORD-0115"/>
    <x v="104"/>
    <x v="1"/>
    <x v="6"/>
    <s v="Home Appliances"/>
    <n v="4"/>
    <n v="1100"/>
    <n v="650"/>
    <n v="0"/>
    <s v="Complete"/>
    <n v="4400"/>
    <n v="4400"/>
    <n v="1800"/>
  </r>
  <r>
    <s v="ORD-0116"/>
    <x v="105"/>
    <x v="0"/>
    <x v="6"/>
    <s v="Home Appliances"/>
    <n v="6"/>
    <n v="1100"/>
    <n v="650"/>
    <n v="0"/>
    <s v="Complete"/>
    <n v="6600"/>
    <n v="6600"/>
    <n v="2700"/>
  </r>
  <r>
    <s v="ORD-0117"/>
    <x v="50"/>
    <x v="0"/>
    <x v="8"/>
    <s v="Home Appliances"/>
    <n v="2"/>
    <n v="520"/>
    <n v="290"/>
    <n v="0.15"/>
    <s v="Complete"/>
    <n v="1040"/>
    <n v="884"/>
    <n v="304"/>
  </r>
  <r>
    <s v="ORD-0118"/>
    <x v="49"/>
    <x v="3"/>
    <x v="3"/>
    <s v="Electronics"/>
    <n v="4"/>
    <n v="650"/>
    <n v="340"/>
    <n v="0"/>
    <s v="Complete"/>
    <n v="2600"/>
    <n v="2600"/>
    <n v="1240"/>
  </r>
  <r>
    <s v="ORD-0119"/>
    <x v="106"/>
    <x v="3"/>
    <x v="3"/>
    <s v="Electronics"/>
    <n v="2"/>
    <n v="650"/>
    <n v="340"/>
    <n v="0"/>
    <s v="Complete"/>
    <n v="1300"/>
    <n v="1300"/>
    <n v="620"/>
  </r>
  <r>
    <s v="ORD-0120"/>
    <x v="107"/>
    <x v="0"/>
    <x v="6"/>
    <s v="Home Appliances"/>
    <n v="3"/>
    <n v="1100"/>
    <n v="650"/>
    <n v="0"/>
    <s v="Complete"/>
    <n v="3300"/>
    <n v="3300"/>
    <n v="1350"/>
  </r>
  <r>
    <s v="ORD-0121"/>
    <x v="108"/>
    <x v="2"/>
    <x v="6"/>
    <s v="Home Appliances"/>
    <n v="3"/>
    <n v="1100"/>
    <n v="650"/>
    <n v="0"/>
    <s v="Complete"/>
    <n v="3300"/>
    <n v="3300"/>
    <n v="1350"/>
  </r>
  <r>
    <s v="ORD-0122"/>
    <x v="109"/>
    <x v="0"/>
    <x v="3"/>
    <s v="Electronics"/>
    <n v="4"/>
    <n v="650"/>
    <n v="340"/>
    <n v="0"/>
    <s v="Complete"/>
    <n v="2600"/>
    <n v="2600"/>
    <n v="1240"/>
  </r>
  <r>
    <s v="ORD-0123"/>
    <x v="27"/>
    <x v="0"/>
    <x v="8"/>
    <s v="Home Appliances"/>
    <n v="3"/>
    <n v="520"/>
    <n v="290"/>
    <n v="0.05"/>
    <s v="Complete"/>
    <n v="1560"/>
    <n v="1482"/>
    <n v="612"/>
  </r>
  <r>
    <s v="ORD-0124"/>
    <x v="81"/>
    <x v="0"/>
    <x v="2"/>
    <s v="Electronics"/>
    <n v="4"/>
    <n v="12500"/>
    <n v="9400"/>
    <n v="0.15"/>
    <s v="Complete"/>
    <n v="50000"/>
    <n v="42500"/>
    <n v="4900"/>
  </r>
  <r>
    <s v="ORD-0125"/>
    <x v="110"/>
    <x v="1"/>
    <x v="6"/>
    <s v="Home Appliances"/>
    <n v="2"/>
    <n v="1100"/>
    <n v="650"/>
    <n v="0"/>
    <s v="Complete"/>
    <n v="2200"/>
    <n v="2200"/>
    <n v="900"/>
  </r>
  <r>
    <s v="ORD-0126"/>
    <x v="111"/>
    <x v="2"/>
    <x v="2"/>
    <s v="Electronics"/>
    <n v="6"/>
    <n v="12500"/>
    <n v="9400"/>
    <n v="0.1"/>
    <s v="Complete"/>
    <n v="75000"/>
    <n v="67500"/>
    <n v="11100"/>
  </r>
  <r>
    <s v="ORD-0127"/>
    <x v="112"/>
    <x v="3"/>
    <x v="1"/>
    <s v="Office Equipment"/>
    <n v="6"/>
    <n v="2100"/>
    <n v="1350"/>
    <n v="0.1"/>
    <s v="Complete"/>
    <n v="12600"/>
    <n v="11340"/>
    <n v="3240"/>
  </r>
  <r>
    <s v="ORD-0128"/>
    <x v="113"/>
    <x v="3"/>
    <x v="8"/>
    <s v="Home Appliances"/>
    <n v="3"/>
    <n v="520"/>
    <n v="290"/>
    <n v="0.1"/>
    <s v="Complete"/>
    <n v="1560"/>
    <n v="1404"/>
    <n v="534"/>
  </r>
  <r>
    <s v="ORD-0129"/>
    <x v="19"/>
    <x v="1"/>
    <x v="3"/>
    <s v="Electronics"/>
    <n v="6"/>
    <n v="650"/>
    <n v="340"/>
    <n v="0"/>
    <s v="Complete"/>
    <n v="3900"/>
    <n v="3900"/>
    <n v="1860"/>
  </r>
  <r>
    <s v="ORD-0130"/>
    <x v="114"/>
    <x v="1"/>
    <x v="6"/>
    <s v="Home Appliances"/>
    <n v="1"/>
    <n v="1100"/>
    <n v="650"/>
    <n v="0.15"/>
    <s v="Complete"/>
    <n v="1100"/>
    <n v="935"/>
    <n v="285"/>
  </r>
  <r>
    <s v="ORD-0131"/>
    <x v="3"/>
    <x v="0"/>
    <x v="4"/>
    <s v="Electronics"/>
    <n v="6"/>
    <n v="3400"/>
    <n v="2300"/>
    <n v="0.15"/>
    <s v="Complete"/>
    <n v="20400"/>
    <n v="17340"/>
    <n v="3540"/>
  </r>
  <r>
    <s v="ORD-0132"/>
    <x v="115"/>
    <x v="3"/>
    <x v="5"/>
    <s v="Office Equipment"/>
    <n v="6"/>
    <n v="2800"/>
    <n v="1900"/>
    <n v="0"/>
    <s v="Complete"/>
    <n v="16800"/>
    <n v="16800"/>
    <n v="5400"/>
  </r>
  <r>
    <s v="ORD-0133"/>
    <x v="116"/>
    <x v="1"/>
    <x v="1"/>
    <s v="Office Equipment"/>
    <n v="1"/>
    <n v="2100"/>
    <n v="1350"/>
    <n v="0.05"/>
    <s v="Complete"/>
    <n v="2100"/>
    <n v="1995"/>
    <n v="645"/>
  </r>
  <r>
    <s v="ORD-0134"/>
    <x v="117"/>
    <x v="0"/>
    <x v="3"/>
    <s v="Electronics"/>
    <n v="6"/>
    <n v="650"/>
    <n v="340"/>
    <n v="0.05"/>
    <s v="Complete"/>
    <n v="3900"/>
    <n v="3705"/>
    <n v="1665"/>
  </r>
  <r>
    <s v="ORD-0135"/>
    <x v="118"/>
    <x v="2"/>
    <x v="1"/>
    <s v="Office Equipment"/>
    <n v="4"/>
    <n v="2100"/>
    <n v="1350"/>
    <n v="0"/>
    <s v="Complete"/>
    <n v="8400"/>
    <n v="8400"/>
    <n v="3000"/>
  </r>
  <r>
    <s v="ORD-0136"/>
    <x v="14"/>
    <x v="1"/>
    <x v="4"/>
    <s v="Electronics"/>
    <n v="6"/>
    <n v="3400"/>
    <n v="2300"/>
    <n v="0.15"/>
    <s v="Complete"/>
    <n v="20400"/>
    <n v="17340"/>
    <n v="3540"/>
  </r>
  <r>
    <s v="ORD-0137"/>
    <x v="119"/>
    <x v="1"/>
    <x v="6"/>
    <s v="Home Appliances"/>
    <n v="1"/>
    <n v="1100"/>
    <n v="650"/>
    <n v="0.1"/>
    <s v="Complete"/>
    <n v="1100"/>
    <n v="990"/>
    <n v="340"/>
  </r>
  <r>
    <s v="ORD-0138"/>
    <x v="86"/>
    <x v="0"/>
    <x v="2"/>
    <s v="Electronics"/>
    <n v="3"/>
    <n v="12500"/>
    <n v="9400"/>
    <n v="0.05"/>
    <s v="Complete"/>
    <n v="37500"/>
    <n v="35625"/>
    <n v="7425"/>
  </r>
  <r>
    <s v="ORD-0139"/>
    <x v="120"/>
    <x v="0"/>
    <x v="7"/>
    <s v="Office Equipment"/>
    <n v="5"/>
    <n v="3900"/>
    <n v="2700"/>
    <n v="0"/>
    <s v="Complete"/>
    <n v="19500"/>
    <n v="19500"/>
    <n v="6000"/>
  </r>
  <r>
    <s v="ORD-0140"/>
    <x v="121"/>
    <x v="2"/>
    <x v="7"/>
    <s v="Office Equipment"/>
    <n v="6"/>
    <n v="3900"/>
    <n v="2700"/>
    <n v="0"/>
    <s v="Complete"/>
    <n v="23400"/>
    <n v="23400"/>
    <n v="7200"/>
  </r>
  <r>
    <s v="ORD-0141"/>
    <x v="122"/>
    <x v="3"/>
    <x v="5"/>
    <s v="Office Equipment"/>
    <n v="2"/>
    <n v="2800"/>
    <n v="1900"/>
    <n v="0.1"/>
    <s v="Complete"/>
    <n v="5600"/>
    <n v="5040"/>
    <n v="1240"/>
  </r>
  <r>
    <s v="ORD-0142"/>
    <x v="123"/>
    <x v="3"/>
    <x v="5"/>
    <s v="Office Equipment"/>
    <n v="6"/>
    <n v="2800"/>
    <n v="1900"/>
    <n v="0"/>
    <s v="Complete"/>
    <n v="16800"/>
    <n v="16800"/>
    <n v="5400"/>
  </r>
  <r>
    <s v="ORD-0143"/>
    <x v="124"/>
    <x v="0"/>
    <x v="7"/>
    <s v="Office Equipment"/>
    <n v="5"/>
    <n v="3900"/>
    <n v="2700"/>
    <n v="0"/>
    <s v="Complete"/>
    <n v="19500"/>
    <n v="19500"/>
    <n v="6000"/>
  </r>
  <r>
    <s v="ORD-0144"/>
    <x v="125"/>
    <x v="3"/>
    <x v="0"/>
    <s v="Home Appliances"/>
    <n v="5"/>
    <n v="1850"/>
    <n v="1200"/>
    <n v="0"/>
    <s v="Complete"/>
    <n v="9250"/>
    <n v="9250"/>
    <n v="3250"/>
  </r>
  <r>
    <s v="ORD-0145"/>
    <x v="126"/>
    <x v="1"/>
    <x v="1"/>
    <s v="Office Equipment"/>
    <n v="6"/>
    <n v="2100"/>
    <n v="1350"/>
    <n v="0"/>
    <s v="Complete"/>
    <n v="12600"/>
    <n v="12600"/>
    <n v="4500"/>
  </r>
  <r>
    <s v="ORD-0146"/>
    <x v="127"/>
    <x v="3"/>
    <x v="2"/>
    <s v="Electronics"/>
    <n v="3"/>
    <n v="12500"/>
    <n v="9400"/>
    <n v="0.1"/>
    <s v="Complete"/>
    <n v="37500"/>
    <n v="33750"/>
    <n v="5550"/>
  </r>
  <r>
    <s v="ORD-0147"/>
    <x v="128"/>
    <x v="1"/>
    <x v="4"/>
    <s v="Electronics"/>
    <n v="6"/>
    <n v="3400"/>
    <n v="2300"/>
    <n v="0.05"/>
    <s v="Complete"/>
    <n v="20400"/>
    <n v="19380"/>
    <n v="5580"/>
  </r>
  <r>
    <s v="ORD-0148"/>
    <x v="129"/>
    <x v="1"/>
    <x v="6"/>
    <s v="Home Appliances"/>
    <n v="6"/>
    <n v="1100"/>
    <n v="650"/>
    <m/>
    <s v="Incomplete"/>
    <n v="6600"/>
    <s v=""/>
    <s v=""/>
  </r>
  <r>
    <s v="ORD-0149"/>
    <x v="42"/>
    <x v="2"/>
    <x v="6"/>
    <s v="Home Appliances"/>
    <n v="1"/>
    <n v="1100"/>
    <n v="650"/>
    <n v="0"/>
    <s v="Complete"/>
    <n v="1100"/>
    <n v="1100"/>
    <n v="450"/>
  </r>
  <r>
    <s v="ORD-0150"/>
    <x v="16"/>
    <x v="1"/>
    <x v="1"/>
    <s v="Office Equipment"/>
    <n v="1"/>
    <n v="2100"/>
    <n v="1350"/>
    <n v="0"/>
    <s v="Complete"/>
    <n v="2100"/>
    <n v="2100"/>
    <n v="750"/>
  </r>
  <r>
    <s v="ORD-0151"/>
    <x v="130"/>
    <x v="1"/>
    <x v="5"/>
    <s v="Office Equipment"/>
    <n v="2"/>
    <n v="2800"/>
    <n v="1900"/>
    <n v="0.05"/>
    <s v="Complete"/>
    <n v="5600"/>
    <n v="5320"/>
    <n v="1520"/>
  </r>
  <r>
    <s v="ORD-0152"/>
    <x v="27"/>
    <x v="0"/>
    <x v="8"/>
    <s v="Home Appliances"/>
    <n v="5"/>
    <n v="520"/>
    <n v="290"/>
    <n v="0"/>
    <s v="Complete"/>
    <n v="2600"/>
    <n v="2600"/>
    <n v="1150"/>
  </r>
  <r>
    <s v="ORD-0153"/>
    <x v="131"/>
    <x v="0"/>
    <x v="1"/>
    <s v="Office Equipment"/>
    <n v="2"/>
    <n v="2100"/>
    <n v="1350"/>
    <n v="0.05"/>
    <s v="Complete"/>
    <n v="4200"/>
    <n v="3990"/>
    <n v="1290"/>
  </r>
  <r>
    <s v="ORD-0154"/>
    <x v="26"/>
    <x v="0"/>
    <x v="7"/>
    <s v="Office Equipment"/>
    <n v="4"/>
    <n v="3900"/>
    <n v="2700"/>
    <n v="0"/>
    <s v="Complete"/>
    <n v="15600"/>
    <n v="15600"/>
    <n v="4800"/>
  </r>
  <r>
    <s v="ORD-0155"/>
    <x v="132"/>
    <x v="3"/>
    <x v="6"/>
    <s v="Home Appliances"/>
    <n v="6"/>
    <n v="1100"/>
    <n v="650"/>
    <n v="0.1"/>
    <s v="Complete"/>
    <n v="6600"/>
    <n v="5940"/>
    <n v="2040"/>
  </r>
  <r>
    <s v="ORD-0156"/>
    <x v="5"/>
    <x v="3"/>
    <x v="5"/>
    <s v="Office Equipment"/>
    <n v="1"/>
    <n v="2800"/>
    <n v="1900"/>
    <n v="0.05"/>
    <s v="Complete"/>
    <n v="2800"/>
    <n v="2660"/>
    <n v="760"/>
  </r>
  <r>
    <s v="ORD-0157"/>
    <x v="133"/>
    <x v="3"/>
    <x v="7"/>
    <s v="Office Equipment"/>
    <n v="2"/>
    <n v="3900"/>
    <n v="2700"/>
    <n v="0.15"/>
    <s v="Complete"/>
    <n v="7800"/>
    <n v="6630"/>
    <n v="1230"/>
  </r>
  <r>
    <s v="ORD-0158"/>
    <x v="53"/>
    <x v="0"/>
    <x v="7"/>
    <s v="Office Equipment"/>
    <n v="1"/>
    <n v="3900"/>
    <n v="2700"/>
    <n v="0.15"/>
    <s v="Complete"/>
    <n v="3900"/>
    <n v="3315"/>
    <n v="615"/>
  </r>
  <r>
    <s v="ORD-0159"/>
    <x v="134"/>
    <x v="3"/>
    <x v="2"/>
    <s v="Electronics"/>
    <n v="2"/>
    <n v="12500"/>
    <n v="9400"/>
    <n v="0.05"/>
    <s v="Complete"/>
    <n v="25000"/>
    <n v="23750"/>
    <n v="4950"/>
  </r>
  <r>
    <s v="ORD-0160"/>
    <x v="135"/>
    <x v="1"/>
    <x v="7"/>
    <s v="Office Equipment"/>
    <n v="3"/>
    <n v="3900"/>
    <n v="2700"/>
    <n v="0.1"/>
    <s v="Complete"/>
    <n v="11700"/>
    <n v="10530"/>
    <n v="2430"/>
  </r>
  <r>
    <s v="ORD-0161"/>
    <x v="95"/>
    <x v="3"/>
    <x v="3"/>
    <s v="Electronics"/>
    <n v="5"/>
    <n v="650"/>
    <n v="340"/>
    <n v="0.05"/>
    <s v="Complete"/>
    <n v="3250"/>
    <n v="3087.5"/>
    <n v="1387.5"/>
  </r>
  <r>
    <s v="ORD-0162"/>
    <x v="22"/>
    <x v="0"/>
    <x v="0"/>
    <s v="Home Appliances"/>
    <n v="1"/>
    <n v="1850"/>
    <n v="1200"/>
    <n v="0"/>
    <s v="Complete"/>
    <n v="1850"/>
    <n v="1850"/>
    <n v="650"/>
  </r>
  <r>
    <s v="ORD-0163"/>
    <x v="136"/>
    <x v="3"/>
    <x v="0"/>
    <s v="Home Appliances"/>
    <n v="1"/>
    <n v="1850"/>
    <n v="1200"/>
    <n v="0"/>
    <s v="Complete"/>
    <n v="1850"/>
    <n v="1850"/>
    <n v="650"/>
  </r>
  <r>
    <s v="ORD-0164"/>
    <x v="137"/>
    <x v="0"/>
    <x v="5"/>
    <s v="Office Equipment"/>
    <n v="6"/>
    <n v="2800"/>
    <n v="1900"/>
    <n v="0"/>
    <s v="Complete"/>
    <n v="16800"/>
    <n v="16800"/>
    <n v="5400"/>
  </r>
  <r>
    <s v="ORD-0165"/>
    <x v="43"/>
    <x v="0"/>
    <x v="6"/>
    <s v="Home Appliances"/>
    <n v="2"/>
    <n v="1100"/>
    <n v="650"/>
    <n v="0.1"/>
    <s v="Complete"/>
    <n v="2200"/>
    <n v="1980"/>
    <n v="680"/>
  </r>
  <r>
    <s v="ORD-0166"/>
    <x v="138"/>
    <x v="1"/>
    <x v="2"/>
    <s v="Electronics"/>
    <n v="5"/>
    <n v="12500"/>
    <n v="9400"/>
    <n v="0.1"/>
    <s v="Complete"/>
    <n v="62500"/>
    <n v="56250"/>
    <n v="9250"/>
  </r>
  <r>
    <s v="ORD-0167"/>
    <x v="139"/>
    <x v="0"/>
    <x v="7"/>
    <s v="Office Equipment"/>
    <n v="2"/>
    <n v="3900"/>
    <n v="2700"/>
    <n v="0.1"/>
    <s v="Complete"/>
    <n v="7800"/>
    <n v="7020"/>
    <n v="1620"/>
  </r>
  <r>
    <s v="ORD-0168"/>
    <x v="140"/>
    <x v="2"/>
    <x v="3"/>
    <s v="Electronics"/>
    <n v="6"/>
    <n v="650"/>
    <n v="340"/>
    <n v="0"/>
    <s v="Complete"/>
    <n v="3900"/>
    <n v="3900"/>
    <n v="1860"/>
  </r>
  <r>
    <s v="ORD-0169"/>
    <x v="141"/>
    <x v="1"/>
    <x v="7"/>
    <s v="Office Equipment"/>
    <n v="5"/>
    <n v="3900"/>
    <n v="2700"/>
    <n v="0.05"/>
    <s v="Complete"/>
    <n v="19500"/>
    <n v="18525"/>
    <n v="5025"/>
  </r>
  <r>
    <s v="ORD-0170"/>
    <x v="142"/>
    <x v="0"/>
    <x v="5"/>
    <s v="Office Equipment"/>
    <n v="6"/>
    <n v="2800"/>
    <n v="1900"/>
    <n v="0.1"/>
    <s v="Complete"/>
    <n v="16800"/>
    <n v="15120"/>
    <n v="3720"/>
  </r>
  <r>
    <s v="ORD-0171"/>
    <x v="143"/>
    <x v="0"/>
    <x v="3"/>
    <s v="Electronics"/>
    <n v="5"/>
    <n v="650"/>
    <n v="340"/>
    <n v="0.1"/>
    <s v="Complete"/>
    <n v="3250"/>
    <n v="2925"/>
    <n v="1225"/>
  </r>
  <r>
    <s v="ORD-0172"/>
    <x v="124"/>
    <x v="3"/>
    <x v="1"/>
    <s v="Office Equipment"/>
    <n v="3"/>
    <n v="2100"/>
    <n v="1350"/>
    <n v="0.05"/>
    <s v="Complete"/>
    <n v="6300"/>
    <n v="5985"/>
    <n v="1935"/>
  </r>
  <r>
    <s v="ORD-0173"/>
    <x v="144"/>
    <x v="0"/>
    <x v="2"/>
    <s v="Electronics"/>
    <n v="4"/>
    <n v="12500"/>
    <n v="9400"/>
    <n v="0"/>
    <s v="Complete"/>
    <n v="50000"/>
    <n v="50000"/>
    <n v="12400"/>
  </r>
  <r>
    <s v="ORD-0174"/>
    <x v="145"/>
    <x v="3"/>
    <x v="0"/>
    <s v="Home Appliances"/>
    <n v="6"/>
    <n v="1850"/>
    <n v="1200"/>
    <n v="0.15"/>
    <s v="Complete"/>
    <n v="11100"/>
    <n v="9435"/>
    <n v="2235"/>
  </r>
  <r>
    <s v="ORD-0175"/>
    <x v="75"/>
    <x v="0"/>
    <x v="2"/>
    <s v="Electronics"/>
    <n v="2"/>
    <n v="12500"/>
    <n v="9400"/>
    <n v="0"/>
    <s v="Complete"/>
    <n v="25000"/>
    <n v="25000"/>
    <n v="6200"/>
  </r>
  <r>
    <s v="ORD-0176"/>
    <x v="123"/>
    <x v="2"/>
    <x v="5"/>
    <s v="Office Equipment"/>
    <n v="6"/>
    <n v="2800"/>
    <n v="1900"/>
    <n v="0.05"/>
    <s v="Complete"/>
    <n v="16800"/>
    <n v="15960"/>
    <n v="4560"/>
  </r>
  <r>
    <s v="ORD-0177"/>
    <x v="146"/>
    <x v="2"/>
    <x v="3"/>
    <s v="Electronics"/>
    <n v="2"/>
    <n v="650"/>
    <n v="340"/>
    <n v="0"/>
    <s v="Complete"/>
    <n v="1300"/>
    <n v="1300"/>
    <n v="620"/>
  </r>
  <r>
    <s v="ORD-0178"/>
    <x v="147"/>
    <x v="0"/>
    <x v="3"/>
    <s v="Electronics"/>
    <n v="5"/>
    <n v="650"/>
    <n v="340"/>
    <n v="0"/>
    <s v="Complete"/>
    <n v="3250"/>
    <n v="3250"/>
    <n v="1550"/>
  </r>
  <r>
    <s v="ORD-0179"/>
    <x v="148"/>
    <x v="1"/>
    <x v="8"/>
    <s v="Home Appliances"/>
    <n v="2"/>
    <n v="520"/>
    <n v="290"/>
    <n v="0.1"/>
    <s v="Complete"/>
    <n v="1040"/>
    <n v="936"/>
    <n v="356"/>
  </r>
  <r>
    <s v="ORD-0180"/>
    <x v="29"/>
    <x v="0"/>
    <x v="2"/>
    <s v="Electronics"/>
    <n v="3"/>
    <n v="12500"/>
    <n v="9400"/>
    <n v="0.15"/>
    <s v="Complete"/>
    <n v="37500"/>
    <n v="31875"/>
    <n v="3675"/>
  </r>
  <r>
    <s v="ORD-0181"/>
    <x v="149"/>
    <x v="0"/>
    <x v="7"/>
    <s v="Office Equipment"/>
    <n v="2"/>
    <n v="3900"/>
    <n v="2700"/>
    <n v="0.1"/>
    <s v="Complete"/>
    <n v="7800"/>
    <n v="7020"/>
    <n v="1620"/>
  </r>
  <r>
    <s v="ORD-0182"/>
    <x v="150"/>
    <x v="1"/>
    <x v="8"/>
    <s v="Home Appliances"/>
    <n v="1"/>
    <n v="520"/>
    <n v="290"/>
    <n v="0"/>
    <s v="Complete"/>
    <n v="520"/>
    <n v="520"/>
    <n v="230"/>
  </r>
  <r>
    <s v="ORD-0183"/>
    <x v="151"/>
    <x v="0"/>
    <x v="8"/>
    <s v="Home Appliances"/>
    <n v="4"/>
    <n v="520"/>
    <n v="290"/>
    <n v="0.05"/>
    <s v="Complete"/>
    <n v="2080"/>
    <n v="1976"/>
    <n v="816"/>
  </r>
  <r>
    <s v="ORD-0184"/>
    <x v="152"/>
    <x v="1"/>
    <x v="2"/>
    <s v="Electronics"/>
    <n v="5"/>
    <n v="12500"/>
    <n v="9400"/>
    <n v="0.05"/>
    <s v="Complete"/>
    <n v="62500"/>
    <n v="59375"/>
    <n v="12375"/>
  </r>
  <r>
    <s v="ORD-0185"/>
    <x v="63"/>
    <x v="0"/>
    <x v="7"/>
    <s v="Office Equipment"/>
    <n v="2"/>
    <n v="3900"/>
    <n v="2700"/>
    <n v="0.1"/>
    <s v="Complete"/>
    <n v="7800"/>
    <n v="7020"/>
    <n v="1620"/>
  </r>
  <r>
    <s v="ORD-0186"/>
    <x v="153"/>
    <x v="1"/>
    <x v="6"/>
    <s v="Home Appliances"/>
    <n v="1"/>
    <n v="1100"/>
    <n v="650"/>
    <n v="0"/>
    <s v="Complete"/>
    <n v="1100"/>
    <n v="1100"/>
    <n v="450"/>
  </r>
  <r>
    <s v="ORD-0187"/>
    <x v="148"/>
    <x v="0"/>
    <x v="8"/>
    <s v="Home Appliances"/>
    <n v="5"/>
    <n v="520"/>
    <n v="290"/>
    <n v="0"/>
    <s v="Complete"/>
    <n v="2600"/>
    <n v="2600"/>
    <n v="1150"/>
  </r>
  <r>
    <s v="ORD-0188"/>
    <x v="154"/>
    <x v="0"/>
    <x v="0"/>
    <s v="Home Appliances"/>
    <n v="1"/>
    <n v="1850"/>
    <n v="1200"/>
    <n v="0.1"/>
    <s v="Complete"/>
    <n v="1850"/>
    <n v="1665"/>
    <n v="465"/>
  </r>
  <r>
    <s v="ORD-0189"/>
    <x v="155"/>
    <x v="0"/>
    <x v="0"/>
    <s v="Home Appliances"/>
    <n v="3"/>
    <n v="1850"/>
    <n v="1200"/>
    <n v="0"/>
    <s v="Complete"/>
    <n v="5550"/>
    <n v="5550"/>
    <n v="1950"/>
  </r>
  <r>
    <s v="ORD-0190"/>
    <x v="156"/>
    <x v="1"/>
    <x v="3"/>
    <s v="Electronics"/>
    <n v="5"/>
    <n v="650"/>
    <n v="340"/>
    <n v="0"/>
    <s v="Complete"/>
    <n v="3250"/>
    <n v="3250"/>
    <n v="1550"/>
  </r>
  <r>
    <s v="ORD-0191"/>
    <x v="141"/>
    <x v="1"/>
    <x v="4"/>
    <s v="Electronics"/>
    <n v="2"/>
    <n v="3400"/>
    <n v="2300"/>
    <n v="0"/>
    <s v="Complete"/>
    <n v="6800"/>
    <n v="6800"/>
    <n v="2200"/>
  </r>
  <r>
    <s v="ORD-0192"/>
    <x v="157"/>
    <x v="0"/>
    <x v="7"/>
    <s v="Office Equipment"/>
    <n v="5"/>
    <n v="3900"/>
    <n v="2700"/>
    <n v="0"/>
    <s v="Complete"/>
    <n v="19500"/>
    <n v="19500"/>
    <n v="6000"/>
  </r>
  <r>
    <s v="ORD-0193"/>
    <x v="158"/>
    <x v="3"/>
    <x v="0"/>
    <s v="Home Appliances"/>
    <n v="4"/>
    <n v="1850"/>
    <n v="1200"/>
    <n v="0.05"/>
    <s v="Complete"/>
    <n v="7400"/>
    <n v="7030"/>
    <n v="2230"/>
  </r>
  <r>
    <s v="ORD-0194"/>
    <x v="127"/>
    <x v="0"/>
    <x v="1"/>
    <s v="Office Equipment"/>
    <n v="6"/>
    <n v="2100"/>
    <n v="1350"/>
    <n v="0"/>
    <s v="Complete"/>
    <n v="12600"/>
    <n v="12600"/>
    <n v="4500"/>
  </r>
  <r>
    <s v="ORD-0195"/>
    <x v="159"/>
    <x v="0"/>
    <x v="5"/>
    <s v="Office Equipment"/>
    <n v="6"/>
    <n v="2800"/>
    <n v="1900"/>
    <n v="0.1"/>
    <s v="Complete"/>
    <n v="16800"/>
    <n v="15120"/>
    <n v="3720"/>
  </r>
  <r>
    <s v="ORD-0196"/>
    <x v="117"/>
    <x v="1"/>
    <x v="7"/>
    <s v="Office Equipment"/>
    <n v="5"/>
    <n v="3900"/>
    <n v="2700"/>
    <n v="0.15"/>
    <s v="Complete"/>
    <n v="19500"/>
    <n v="16575"/>
    <n v="3075"/>
  </r>
  <r>
    <s v="ORD-0197"/>
    <x v="160"/>
    <x v="0"/>
    <x v="1"/>
    <s v="Office Equipment"/>
    <n v="6"/>
    <n v="2100"/>
    <n v="1350"/>
    <n v="0.05"/>
    <s v="Complete"/>
    <n v="12600"/>
    <n v="11970"/>
    <n v="3870"/>
  </r>
  <r>
    <s v="ORD-0198"/>
    <x v="161"/>
    <x v="0"/>
    <x v="4"/>
    <s v="Electronics"/>
    <n v="6"/>
    <n v="3400"/>
    <n v="2300"/>
    <n v="0"/>
    <s v="Complete"/>
    <n v="20400"/>
    <n v="20400"/>
    <n v="6600"/>
  </r>
  <r>
    <s v="ORD-0199"/>
    <x v="50"/>
    <x v="1"/>
    <x v="2"/>
    <s v="Electronics"/>
    <n v="2"/>
    <n v="12500"/>
    <n v="9400"/>
    <n v="0"/>
    <s v="Complete"/>
    <n v="25000"/>
    <n v="25000"/>
    <n v="6200"/>
  </r>
  <r>
    <s v="ORD-0200"/>
    <x v="2"/>
    <x v="1"/>
    <x v="2"/>
    <s v="Electronics"/>
    <n v="5"/>
    <n v="12500"/>
    <n v="9400"/>
    <n v="0.1"/>
    <s v="Complete"/>
    <n v="62500"/>
    <n v="56250"/>
    <n v="9250"/>
  </r>
  <r>
    <s v="ORD-0201"/>
    <x v="162"/>
    <x v="3"/>
    <x v="1"/>
    <s v="Office Equipment"/>
    <n v="1"/>
    <n v="2100"/>
    <n v="1350"/>
    <n v="0.15"/>
    <s v="Complete"/>
    <n v="2100"/>
    <n v="1785"/>
    <n v="435"/>
  </r>
  <r>
    <s v="ORD-0202"/>
    <x v="163"/>
    <x v="0"/>
    <x v="0"/>
    <s v="Home Appliances"/>
    <n v="1"/>
    <n v="1850"/>
    <n v="1200"/>
    <n v="0.1"/>
    <s v="Complete"/>
    <n v="1850"/>
    <n v="1665"/>
    <n v="465"/>
  </r>
  <r>
    <s v="ORD-0203"/>
    <x v="164"/>
    <x v="0"/>
    <x v="4"/>
    <s v="Electronics"/>
    <n v="3"/>
    <n v="3400"/>
    <n v="2300"/>
    <n v="0"/>
    <s v="Complete"/>
    <n v="10200"/>
    <n v="10200"/>
    <n v="3300"/>
  </r>
  <r>
    <s v="ORD-0204"/>
    <x v="165"/>
    <x v="2"/>
    <x v="8"/>
    <s v="Home Appliances"/>
    <n v="2"/>
    <n v="520"/>
    <n v="290"/>
    <n v="0"/>
    <s v="Complete"/>
    <n v="1040"/>
    <n v="1040"/>
    <n v="460"/>
  </r>
  <r>
    <s v="ORD-0205"/>
    <x v="122"/>
    <x v="3"/>
    <x v="0"/>
    <s v="Home Appliances"/>
    <n v="1"/>
    <n v="1850"/>
    <n v="1200"/>
    <n v="0.05"/>
    <s v="Complete"/>
    <n v="1850"/>
    <n v="1757.5"/>
    <n v="557.5"/>
  </r>
  <r>
    <s v="ORD-0206"/>
    <x v="166"/>
    <x v="3"/>
    <x v="7"/>
    <s v="Office Equipment"/>
    <n v="3"/>
    <n v="3900"/>
    <n v="2700"/>
    <n v="0.1"/>
    <s v="Complete"/>
    <n v="11700"/>
    <n v="10530"/>
    <n v="2430"/>
  </r>
  <r>
    <s v="ORD-0207"/>
    <x v="167"/>
    <x v="1"/>
    <x v="4"/>
    <s v="Electronics"/>
    <n v="4"/>
    <n v="3400"/>
    <n v="2300"/>
    <n v="0"/>
    <s v="Complete"/>
    <n v="13600"/>
    <n v="13600"/>
    <n v="4400"/>
  </r>
  <r>
    <s v="ORD-0208"/>
    <x v="8"/>
    <x v="1"/>
    <x v="2"/>
    <s v="Electronics"/>
    <n v="1"/>
    <n v="12500"/>
    <n v="9400"/>
    <n v="0.05"/>
    <s v="Complete"/>
    <n v="12500"/>
    <n v="11875"/>
    <n v="2475"/>
  </r>
  <r>
    <s v="ORD-0209"/>
    <x v="147"/>
    <x v="1"/>
    <x v="7"/>
    <s v="Office Equipment"/>
    <n v="2"/>
    <n v="3900"/>
    <n v="2700"/>
    <n v="0"/>
    <s v="Complete"/>
    <n v="7800"/>
    <n v="7800"/>
    <n v="2400"/>
  </r>
  <r>
    <s v="ORD-0210"/>
    <x v="168"/>
    <x v="0"/>
    <x v="1"/>
    <s v="Office Equipment"/>
    <n v="4"/>
    <n v="2100"/>
    <n v="1350"/>
    <n v="0.05"/>
    <s v="Complete"/>
    <n v="8400"/>
    <n v="7980"/>
    <n v="2580"/>
  </r>
  <r>
    <s v="ORD-0211"/>
    <x v="169"/>
    <x v="0"/>
    <x v="2"/>
    <s v="Electronics"/>
    <n v="5"/>
    <n v="12500"/>
    <n v="9400"/>
    <n v="0"/>
    <s v="Complete"/>
    <n v="62500"/>
    <n v="62500"/>
    <n v="15500"/>
  </r>
  <r>
    <s v="ORD-0212"/>
    <x v="170"/>
    <x v="0"/>
    <x v="3"/>
    <s v="Electronics"/>
    <n v="3"/>
    <n v="650"/>
    <n v="340"/>
    <n v="0"/>
    <s v="Complete"/>
    <n v="1950"/>
    <n v="1950"/>
    <n v="930"/>
  </r>
  <r>
    <s v="ORD-0213"/>
    <x v="7"/>
    <x v="0"/>
    <x v="6"/>
    <s v="Home Appliances"/>
    <n v="1"/>
    <n v="1100"/>
    <n v="650"/>
    <n v="0.1"/>
    <s v="Complete"/>
    <n v="1100"/>
    <n v="990"/>
    <n v="340"/>
  </r>
  <r>
    <s v="ORD-0214"/>
    <x v="44"/>
    <x v="0"/>
    <x v="3"/>
    <s v="Electronics"/>
    <n v="6"/>
    <n v="650"/>
    <n v="340"/>
    <n v="0.1"/>
    <s v="Complete"/>
    <n v="3900"/>
    <n v="3510"/>
    <n v="1470"/>
  </r>
  <r>
    <s v="ORD-0215"/>
    <x v="171"/>
    <x v="1"/>
    <x v="4"/>
    <s v="Electronics"/>
    <n v="2"/>
    <n v="3400"/>
    <n v="2300"/>
    <n v="0"/>
    <s v="Complete"/>
    <n v="6800"/>
    <n v="6800"/>
    <n v="2200"/>
  </r>
  <r>
    <s v="ORD-0216"/>
    <x v="119"/>
    <x v="0"/>
    <x v="5"/>
    <s v="Office Equipment"/>
    <n v="2"/>
    <n v="2800"/>
    <n v="1900"/>
    <n v="0.1"/>
    <s v="Complete"/>
    <n v="5600"/>
    <n v="5040"/>
    <n v="1240"/>
  </r>
  <r>
    <s v="ORD-0217"/>
    <x v="172"/>
    <x v="3"/>
    <x v="6"/>
    <s v="Home Appliances"/>
    <n v="2"/>
    <n v="1100"/>
    <n v="650"/>
    <n v="0.05"/>
    <s v="Complete"/>
    <n v="2200"/>
    <n v="2090"/>
    <n v="790"/>
  </r>
  <r>
    <s v="ORD-0218"/>
    <x v="31"/>
    <x v="3"/>
    <x v="2"/>
    <s v="Electronics"/>
    <n v="2"/>
    <n v="12500"/>
    <n v="9400"/>
    <n v="0.15"/>
    <s v="Complete"/>
    <n v="25000"/>
    <n v="21250"/>
    <n v="2450"/>
  </r>
  <r>
    <s v="ORD-0219"/>
    <x v="86"/>
    <x v="1"/>
    <x v="4"/>
    <s v="Electronics"/>
    <n v="5"/>
    <n v="3400"/>
    <n v="2300"/>
    <n v="0.15"/>
    <s v="Complete"/>
    <n v="17000"/>
    <n v="14450"/>
    <n v="2950"/>
  </r>
  <r>
    <s v="ORD-0220"/>
    <x v="10"/>
    <x v="3"/>
    <x v="8"/>
    <s v="Home Appliances"/>
    <n v="6"/>
    <n v="520"/>
    <n v="290"/>
    <n v="0.05"/>
    <s v="Complete"/>
    <n v="3120"/>
    <n v="2964"/>
    <n v="1224"/>
  </r>
  <r>
    <s v="ORD-0221"/>
    <x v="173"/>
    <x v="1"/>
    <x v="5"/>
    <s v="Office Equipment"/>
    <n v="4"/>
    <n v="2800"/>
    <n v="1900"/>
    <n v="0.05"/>
    <s v="Complete"/>
    <n v="11200"/>
    <n v="10640"/>
    <n v="3040"/>
  </r>
  <r>
    <s v="ORD-0222"/>
    <x v="31"/>
    <x v="0"/>
    <x v="0"/>
    <s v="Home Appliances"/>
    <n v="2"/>
    <n v="1850"/>
    <n v="1200"/>
    <n v="0.1"/>
    <s v="Complete"/>
    <n v="3700"/>
    <n v="3330"/>
    <n v="930"/>
  </r>
  <r>
    <s v="ORD-0223"/>
    <x v="174"/>
    <x v="0"/>
    <x v="6"/>
    <s v="Home Appliances"/>
    <n v="2"/>
    <n v="1100"/>
    <n v="650"/>
    <n v="0.05"/>
    <s v="Complete"/>
    <n v="2200"/>
    <n v="2090"/>
    <n v="790"/>
  </r>
  <r>
    <s v="ORD-0224"/>
    <x v="148"/>
    <x v="0"/>
    <x v="8"/>
    <s v="Home Appliances"/>
    <n v="3"/>
    <n v="520"/>
    <n v="290"/>
    <n v="0.1"/>
    <s v="Complete"/>
    <n v="1560"/>
    <n v="1404"/>
    <n v="534"/>
  </r>
  <r>
    <s v="ORD-0225"/>
    <x v="175"/>
    <x v="0"/>
    <x v="4"/>
    <s v="Electronics"/>
    <n v="4"/>
    <n v="3400"/>
    <n v="2300"/>
    <n v="0"/>
    <s v="Complete"/>
    <n v="13600"/>
    <n v="13600"/>
    <n v="4400"/>
  </r>
  <r>
    <s v="ORD-0226"/>
    <x v="116"/>
    <x v="0"/>
    <x v="8"/>
    <s v="Home Appliances"/>
    <n v="6"/>
    <n v="520"/>
    <n v="290"/>
    <n v="0.05"/>
    <s v="Complete"/>
    <n v="3120"/>
    <n v="2964"/>
    <n v="1224"/>
  </r>
  <r>
    <s v="ORD-0227"/>
    <x v="176"/>
    <x v="3"/>
    <x v="0"/>
    <s v="Home Appliances"/>
    <n v="1"/>
    <n v="1850"/>
    <n v="1200"/>
    <n v="0.05"/>
    <s v="Complete"/>
    <n v="1850"/>
    <n v="1757.5"/>
    <n v="557.5"/>
  </r>
  <r>
    <s v="ORD-0228"/>
    <x v="177"/>
    <x v="1"/>
    <x v="4"/>
    <s v="Electronics"/>
    <n v="3"/>
    <n v="3400"/>
    <n v="2300"/>
    <n v="0"/>
    <s v="Complete"/>
    <n v="10200"/>
    <n v="10200"/>
    <n v="3300"/>
  </r>
  <r>
    <s v="ORD-0229"/>
    <x v="120"/>
    <x v="1"/>
    <x v="7"/>
    <s v="Office Equipment"/>
    <n v="2"/>
    <n v="3900"/>
    <n v="2700"/>
    <n v="0.1"/>
    <s v="Complete"/>
    <n v="7800"/>
    <n v="7020"/>
    <n v="1620"/>
  </r>
  <r>
    <s v="ORD-0230"/>
    <x v="178"/>
    <x v="0"/>
    <x v="8"/>
    <s v="Home Appliances"/>
    <n v="6"/>
    <n v="520"/>
    <n v="290"/>
    <n v="0"/>
    <s v="Complete"/>
    <n v="3120"/>
    <n v="3120"/>
    <n v="1380"/>
  </r>
  <r>
    <s v="ORD-0231"/>
    <x v="179"/>
    <x v="2"/>
    <x v="8"/>
    <s v="Home Appliances"/>
    <n v="6"/>
    <n v="520"/>
    <n v="290"/>
    <n v="0.05"/>
    <s v="Complete"/>
    <n v="3120"/>
    <n v="2964"/>
    <n v="1224"/>
  </r>
  <r>
    <s v="ORD-0232"/>
    <x v="180"/>
    <x v="3"/>
    <x v="5"/>
    <s v="Office Equipment"/>
    <n v="3"/>
    <n v="2800"/>
    <n v="1900"/>
    <n v="0"/>
    <s v="Complete"/>
    <n v="8400"/>
    <n v="8400"/>
    <n v="2700"/>
  </r>
  <r>
    <s v="ORD-0233"/>
    <x v="181"/>
    <x v="3"/>
    <x v="7"/>
    <s v="Office Equipment"/>
    <n v="6"/>
    <n v="3900"/>
    <n v="2700"/>
    <n v="0"/>
    <s v="Complete"/>
    <n v="23400"/>
    <n v="23400"/>
    <n v="7200"/>
  </r>
  <r>
    <s v="ORD-0234"/>
    <x v="173"/>
    <x v="2"/>
    <x v="2"/>
    <s v="Electronics"/>
    <n v="4"/>
    <n v="12500"/>
    <n v="9400"/>
    <n v="0"/>
    <s v="Complete"/>
    <n v="50000"/>
    <n v="50000"/>
    <n v="12400"/>
  </r>
  <r>
    <s v="ORD-0235"/>
    <x v="182"/>
    <x v="0"/>
    <x v="1"/>
    <s v="Office Equipment"/>
    <n v="2"/>
    <n v="2100"/>
    <n v="1350"/>
    <n v="0.1"/>
    <s v="Complete"/>
    <n v="4200"/>
    <n v="3780"/>
    <n v="1080"/>
  </r>
  <r>
    <s v="ORD-0236"/>
    <x v="180"/>
    <x v="3"/>
    <x v="0"/>
    <s v="Home Appliances"/>
    <n v="2"/>
    <n v="1850"/>
    <n v="1200"/>
    <n v="0"/>
    <s v="Complete"/>
    <n v="3700"/>
    <n v="3700"/>
    <n v="1300"/>
  </r>
  <r>
    <s v="ORD-0237"/>
    <x v="14"/>
    <x v="1"/>
    <x v="1"/>
    <s v="Office Equipment"/>
    <n v="2"/>
    <n v="2100"/>
    <n v="1350"/>
    <n v="0"/>
    <s v="Complete"/>
    <n v="4200"/>
    <n v="4200"/>
    <n v="1500"/>
  </r>
  <r>
    <s v="ORD-0238"/>
    <x v="178"/>
    <x v="0"/>
    <x v="1"/>
    <s v="Office Equipment"/>
    <n v="2"/>
    <n v="2100"/>
    <n v="1350"/>
    <n v="0"/>
    <s v="Complete"/>
    <n v="4200"/>
    <n v="4200"/>
    <n v="1500"/>
  </r>
  <r>
    <s v="ORD-0239"/>
    <x v="51"/>
    <x v="3"/>
    <x v="2"/>
    <s v="Electronics"/>
    <n v="2"/>
    <n v="12500"/>
    <n v="9400"/>
    <n v="0"/>
    <s v="Complete"/>
    <n v="25000"/>
    <n v="25000"/>
    <n v="6200"/>
  </r>
  <r>
    <s v="ORD-0240"/>
    <x v="183"/>
    <x v="3"/>
    <x v="2"/>
    <s v="Electronics"/>
    <n v="2"/>
    <n v="12500"/>
    <n v="9400"/>
    <n v="0.05"/>
    <s v="Complete"/>
    <n v="25000"/>
    <n v="23750"/>
    <n v="495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976584C-AA32-4CA8-AB66-1E429F788548}" name="PivotTable6" cacheId="3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B18:D23" firstHeaderRow="0" firstDataRow="1" firstDataCol="1"/>
  <pivotFields count="15">
    <pivotField showAll="0"/>
    <pivotField numFmtId="14" showAll="0">
      <items count="185">
        <item x="129"/>
        <item x="112"/>
        <item x="15"/>
        <item x="107"/>
        <item x="65"/>
        <item x="102"/>
        <item x="39"/>
        <item x="133"/>
        <item x="29"/>
        <item x="100"/>
        <item x="94"/>
        <item x="64"/>
        <item x="47"/>
        <item x="31"/>
        <item x="168"/>
        <item x="106"/>
        <item x="122"/>
        <item x="174"/>
        <item x="25"/>
        <item x="16"/>
        <item x="81"/>
        <item x="88"/>
        <item x="6"/>
        <item x="80"/>
        <item x="139"/>
        <item x="160"/>
        <item x="121"/>
        <item x="13"/>
        <item x="48"/>
        <item x="53"/>
        <item x="79"/>
        <item x="89"/>
        <item x="167"/>
        <item x="49"/>
        <item x="170"/>
        <item x="179"/>
        <item x="147"/>
        <item x="67"/>
        <item x="77"/>
        <item x="169"/>
        <item x="97"/>
        <item x="11"/>
        <item x="83"/>
        <item x="3"/>
        <item x="132"/>
        <item x="61"/>
        <item x="104"/>
        <item x="52"/>
        <item x="175"/>
        <item x="114"/>
        <item x="164"/>
        <item x="51"/>
        <item x="36"/>
        <item x="45"/>
        <item x="90"/>
        <item x="73"/>
        <item x="154"/>
        <item x="21"/>
        <item x="24"/>
        <item x="124"/>
        <item x="19"/>
        <item x="75"/>
        <item x="131"/>
        <item x="158"/>
        <item x="156"/>
        <item x="2"/>
        <item x="177"/>
        <item x="161"/>
        <item x="32"/>
        <item x="108"/>
        <item x="76"/>
        <item x="60"/>
        <item x="136"/>
        <item x="152"/>
        <item x="96"/>
        <item x="165"/>
        <item x="182"/>
        <item x="84"/>
        <item x="183"/>
        <item x="178"/>
        <item x="99"/>
        <item x="181"/>
        <item x="54"/>
        <item x="9"/>
        <item x="85"/>
        <item x="101"/>
        <item x="166"/>
        <item x="172"/>
        <item x="0"/>
        <item x="141"/>
        <item x="171"/>
        <item x="93"/>
        <item x="56"/>
        <item x="82"/>
        <item x="109"/>
        <item x="142"/>
        <item x="71"/>
        <item x="62"/>
        <item x="43"/>
        <item x="127"/>
        <item x="138"/>
        <item x="150"/>
        <item x="123"/>
        <item x="92"/>
        <item x="42"/>
        <item x="34"/>
        <item x="145"/>
        <item x="163"/>
        <item x="55"/>
        <item x="14"/>
        <item x="41"/>
        <item x="69"/>
        <item x="137"/>
        <item x="10"/>
        <item x="23"/>
        <item x="162"/>
        <item x="126"/>
        <item x="27"/>
        <item x="115"/>
        <item x="20"/>
        <item x="143"/>
        <item x="148"/>
        <item x="87"/>
        <item x="95"/>
        <item x="155"/>
        <item x="57"/>
        <item x="74"/>
        <item x="26"/>
        <item x="37"/>
        <item x="28"/>
        <item x="40"/>
        <item x="35"/>
        <item x="98"/>
        <item x="66"/>
        <item x="30"/>
        <item x="120"/>
        <item x="125"/>
        <item x="110"/>
        <item x="153"/>
        <item x="103"/>
        <item x="70"/>
        <item x="86"/>
        <item x="68"/>
        <item x="157"/>
        <item x="1"/>
        <item x="7"/>
        <item x="44"/>
        <item x="176"/>
        <item x="151"/>
        <item x="78"/>
        <item x="135"/>
        <item x="5"/>
        <item x="134"/>
        <item x="180"/>
        <item x="118"/>
        <item x="63"/>
        <item x="18"/>
        <item x="38"/>
        <item x="119"/>
        <item x="113"/>
        <item x="105"/>
        <item x="111"/>
        <item x="130"/>
        <item x="146"/>
        <item x="117"/>
        <item x="4"/>
        <item x="173"/>
        <item x="17"/>
        <item x="12"/>
        <item x="59"/>
        <item x="50"/>
        <item x="159"/>
        <item x="149"/>
        <item x="116"/>
        <item x="8"/>
        <item x="46"/>
        <item x="72"/>
        <item x="140"/>
        <item x="58"/>
        <item x="22"/>
        <item x="33"/>
        <item x="128"/>
        <item x="144"/>
        <item x="91"/>
        <item t="default"/>
      </items>
    </pivotField>
    <pivotField axis="axisRow" showAll="0" sortType="descending">
      <items count="5">
        <item x="2"/>
        <item x="0"/>
        <item x="3"/>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dataField="1" showAll="0"/>
    <pivotField dataField="1" showAll="0"/>
    <pivotField showAll="0" defaultSubtotal="0"/>
    <pivotField showAll="0" defaultSubtotal="0">
      <items count="4">
        <item x="0"/>
        <item x="1"/>
        <item x="2"/>
        <item x="3"/>
      </items>
    </pivotField>
  </pivotFields>
  <rowFields count="1">
    <field x="2"/>
  </rowFields>
  <rowItems count="5">
    <i>
      <x v="1"/>
    </i>
    <i>
      <x v="3"/>
    </i>
    <i>
      <x v="2"/>
    </i>
    <i>
      <x/>
    </i>
    <i t="grand">
      <x/>
    </i>
  </rowItems>
  <colFields count="1">
    <field x="-2"/>
  </colFields>
  <colItems count="2">
    <i>
      <x/>
    </i>
    <i i="1">
      <x v="1"/>
    </i>
  </colItems>
  <dataFields count="2">
    <dataField name="Sum of Net_Revenue_ZAR" fld="11" baseField="2" baseItem="0" numFmtId="44"/>
    <dataField name="Sum of Gross_Profit_ZAR" fld="12" baseField="2" baseItem="0" numFmtId="44"/>
  </dataFields>
  <formats count="2">
    <format dxfId="35">
      <pivotArea outline="0" collapsedLevelsAreSubtotals="1" fieldPosition="0">
        <references count="1">
          <reference field="4294967294" count="1" selected="0">
            <x v="1"/>
          </reference>
        </references>
      </pivotArea>
    </format>
    <format dxfId="34">
      <pivotArea outline="0" collapsedLevelsAreSubtotals="1" fieldPosition="0">
        <references count="1">
          <reference field="4294967294" count="1" selected="0">
            <x v="0"/>
          </reference>
        </references>
      </pivotArea>
    </format>
  </format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550E5F2-AB0C-41B6-AE6E-C38528E81D2B}" name="tblRegionalSales" cacheId="3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C10:D15" firstHeaderRow="1" firstDataRow="1" firstDataCol="1"/>
  <pivotFields count="15">
    <pivotField showAll="0"/>
    <pivotField numFmtId="14" showAll="0">
      <items count="185">
        <item x="129"/>
        <item x="112"/>
        <item x="15"/>
        <item x="107"/>
        <item x="65"/>
        <item x="102"/>
        <item x="39"/>
        <item x="133"/>
        <item x="29"/>
        <item x="100"/>
        <item x="94"/>
        <item x="64"/>
        <item x="47"/>
        <item x="31"/>
        <item x="168"/>
        <item x="106"/>
        <item x="122"/>
        <item x="174"/>
        <item x="25"/>
        <item x="16"/>
        <item x="81"/>
        <item x="88"/>
        <item x="6"/>
        <item x="80"/>
        <item x="139"/>
        <item x="160"/>
        <item x="121"/>
        <item x="13"/>
        <item x="48"/>
        <item x="53"/>
        <item x="79"/>
        <item x="89"/>
        <item x="167"/>
        <item x="49"/>
        <item x="170"/>
        <item x="179"/>
        <item x="147"/>
        <item x="67"/>
        <item x="77"/>
        <item x="169"/>
        <item x="97"/>
        <item x="11"/>
        <item x="83"/>
        <item x="3"/>
        <item x="132"/>
        <item x="61"/>
        <item x="104"/>
        <item x="52"/>
        <item x="175"/>
        <item x="114"/>
        <item x="164"/>
        <item x="51"/>
        <item x="36"/>
        <item x="45"/>
        <item x="90"/>
        <item x="73"/>
        <item x="154"/>
        <item x="21"/>
        <item x="24"/>
        <item x="124"/>
        <item x="19"/>
        <item x="75"/>
        <item x="131"/>
        <item x="158"/>
        <item x="156"/>
        <item x="2"/>
        <item x="177"/>
        <item x="161"/>
        <item x="32"/>
        <item x="108"/>
        <item x="76"/>
        <item x="60"/>
        <item x="136"/>
        <item x="152"/>
        <item x="96"/>
        <item x="165"/>
        <item x="182"/>
        <item x="84"/>
        <item x="183"/>
        <item x="178"/>
        <item x="99"/>
        <item x="181"/>
        <item x="54"/>
        <item x="9"/>
        <item x="85"/>
        <item x="101"/>
        <item x="166"/>
        <item x="172"/>
        <item x="0"/>
        <item x="141"/>
        <item x="171"/>
        <item x="93"/>
        <item x="56"/>
        <item x="82"/>
        <item x="109"/>
        <item x="142"/>
        <item x="71"/>
        <item x="62"/>
        <item x="43"/>
        <item x="127"/>
        <item x="138"/>
        <item x="150"/>
        <item x="123"/>
        <item x="92"/>
        <item x="42"/>
        <item x="34"/>
        <item x="145"/>
        <item x="163"/>
        <item x="55"/>
        <item x="14"/>
        <item x="41"/>
        <item x="69"/>
        <item x="137"/>
        <item x="10"/>
        <item x="23"/>
        <item x="162"/>
        <item x="126"/>
        <item x="27"/>
        <item x="115"/>
        <item x="20"/>
        <item x="143"/>
        <item x="148"/>
        <item x="87"/>
        <item x="95"/>
        <item x="155"/>
        <item x="57"/>
        <item x="74"/>
        <item x="26"/>
        <item x="37"/>
        <item x="28"/>
        <item x="40"/>
        <item x="35"/>
        <item x="98"/>
        <item x="66"/>
        <item x="30"/>
        <item x="120"/>
        <item x="125"/>
        <item x="110"/>
        <item x="153"/>
        <item x="103"/>
        <item x="70"/>
        <item x="86"/>
        <item x="68"/>
        <item x="157"/>
        <item x="1"/>
        <item x="7"/>
        <item x="44"/>
        <item x="176"/>
        <item x="151"/>
        <item x="78"/>
        <item x="135"/>
        <item x="5"/>
        <item x="134"/>
        <item x="180"/>
        <item x="118"/>
        <item x="63"/>
        <item x="18"/>
        <item x="38"/>
        <item x="119"/>
        <item x="113"/>
        <item x="105"/>
        <item x="111"/>
        <item x="130"/>
        <item x="146"/>
        <item x="117"/>
        <item x="4"/>
        <item x="173"/>
        <item x="17"/>
        <item x="12"/>
        <item x="59"/>
        <item x="50"/>
        <item x="159"/>
        <item x="149"/>
        <item x="116"/>
        <item x="8"/>
        <item x="46"/>
        <item x="72"/>
        <item x="140"/>
        <item x="58"/>
        <item x="22"/>
        <item x="33"/>
        <item x="128"/>
        <item x="144"/>
        <item x="91"/>
        <item t="default"/>
      </items>
    </pivotField>
    <pivotField axis="axisRow" showAll="0" sortType="ascending">
      <items count="5">
        <item x="2"/>
        <item x="0"/>
        <item x="3"/>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dataField="1" showAll="0"/>
    <pivotField showAll="0"/>
    <pivotField showAll="0" defaultSubtotal="0"/>
    <pivotField showAll="0" defaultSubtotal="0">
      <items count="4">
        <item x="0"/>
        <item x="1"/>
        <item x="2"/>
        <item x="3"/>
      </items>
    </pivotField>
  </pivotFields>
  <rowFields count="1">
    <field x="2"/>
  </rowFields>
  <rowItems count="5">
    <i>
      <x/>
    </i>
    <i>
      <x v="2"/>
    </i>
    <i>
      <x v="3"/>
    </i>
    <i>
      <x v="1"/>
    </i>
    <i t="grand">
      <x/>
    </i>
  </rowItems>
  <colItems count="1">
    <i/>
  </colItems>
  <dataFields count="1">
    <dataField name="Sum of Net_Revenue_ZAR" fld="11" baseField="2" baseItem="0" numFmtId="44"/>
  </dataFields>
  <formats count="1">
    <format dxfId="36">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0E27599-70C4-4A53-9A19-89120EE12CCD}" name="Monthly Performance" cacheId="3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I10:J24" firstHeaderRow="1" firstDataRow="1" firstDataCol="1"/>
  <pivotFields count="15">
    <pivotField showAll="0"/>
    <pivotField numFmtId="14" showAll="0">
      <items count="185">
        <item x="129"/>
        <item x="112"/>
        <item x="15"/>
        <item x="107"/>
        <item x="65"/>
        <item x="102"/>
        <item x="39"/>
        <item x="133"/>
        <item x="29"/>
        <item x="100"/>
        <item x="94"/>
        <item x="64"/>
        <item x="47"/>
        <item x="31"/>
        <item x="168"/>
        <item x="106"/>
        <item x="122"/>
        <item x="174"/>
        <item x="25"/>
        <item x="16"/>
        <item x="81"/>
        <item x="88"/>
        <item x="6"/>
        <item x="80"/>
        <item x="139"/>
        <item x="160"/>
        <item x="121"/>
        <item x="13"/>
        <item x="48"/>
        <item x="53"/>
        <item x="79"/>
        <item x="89"/>
        <item x="167"/>
        <item x="49"/>
        <item x="170"/>
        <item x="179"/>
        <item x="147"/>
        <item x="67"/>
        <item x="77"/>
        <item x="169"/>
        <item x="97"/>
        <item x="11"/>
        <item x="83"/>
        <item x="3"/>
        <item x="132"/>
        <item x="61"/>
        <item x="104"/>
        <item x="52"/>
        <item x="175"/>
        <item x="114"/>
        <item x="164"/>
        <item x="51"/>
        <item x="36"/>
        <item x="45"/>
        <item x="90"/>
        <item x="73"/>
        <item x="154"/>
        <item x="21"/>
        <item x="24"/>
        <item x="124"/>
        <item x="19"/>
        <item x="75"/>
        <item x="131"/>
        <item x="158"/>
        <item x="156"/>
        <item x="2"/>
        <item x="177"/>
        <item x="161"/>
        <item x="32"/>
        <item x="108"/>
        <item x="76"/>
        <item x="60"/>
        <item x="136"/>
        <item x="152"/>
        <item x="96"/>
        <item x="165"/>
        <item x="182"/>
        <item x="84"/>
        <item x="183"/>
        <item x="178"/>
        <item x="99"/>
        <item x="181"/>
        <item x="54"/>
        <item x="9"/>
        <item x="85"/>
        <item x="101"/>
        <item x="166"/>
        <item x="172"/>
        <item x="0"/>
        <item x="141"/>
        <item x="171"/>
        <item x="93"/>
        <item x="56"/>
        <item x="82"/>
        <item x="109"/>
        <item x="142"/>
        <item x="71"/>
        <item x="62"/>
        <item x="43"/>
        <item x="127"/>
        <item x="138"/>
        <item x="150"/>
        <item x="123"/>
        <item x="92"/>
        <item x="42"/>
        <item x="34"/>
        <item x="145"/>
        <item x="163"/>
        <item x="55"/>
        <item x="14"/>
        <item x="41"/>
        <item x="69"/>
        <item x="137"/>
        <item x="10"/>
        <item x="23"/>
        <item x="162"/>
        <item x="126"/>
        <item x="27"/>
        <item x="115"/>
        <item x="20"/>
        <item x="143"/>
        <item x="148"/>
        <item x="87"/>
        <item x="95"/>
        <item x="155"/>
        <item x="57"/>
        <item x="74"/>
        <item x="26"/>
        <item x="37"/>
        <item x="28"/>
        <item x="40"/>
        <item x="35"/>
        <item x="98"/>
        <item x="66"/>
        <item x="30"/>
        <item x="120"/>
        <item x="125"/>
        <item x="110"/>
        <item x="153"/>
        <item x="103"/>
        <item x="70"/>
        <item x="86"/>
        <item x="68"/>
        <item x="157"/>
        <item x="1"/>
        <item x="7"/>
        <item x="44"/>
        <item x="176"/>
        <item x="151"/>
        <item x="78"/>
        <item x="135"/>
        <item x="5"/>
        <item x="134"/>
        <item x="180"/>
        <item x="118"/>
        <item x="63"/>
        <item x="18"/>
        <item x="38"/>
        <item x="119"/>
        <item x="113"/>
        <item x="105"/>
        <item x="111"/>
        <item x="130"/>
        <item x="146"/>
        <item x="117"/>
        <item x="4"/>
        <item x="173"/>
        <item x="17"/>
        <item x="12"/>
        <item x="59"/>
        <item x="50"/>
        <item x="159"/>
        <item x="149"/>
        <item x="116"/>
        <item x="8"/>
        <item x="46"/>
        <item x="72"/>
        <item x="140"/>
        <item x="58"/>
        <item x="22"/>
        <item x="33"/>
        <item x="128"/>
        <item x="144"/>
        <item x="91"/>
        <item t="default"/>
      </items>
    </pivotField>
    <pivotField showAll="0"/>
    <pivotField showAll="0"/>
    <pivotField showAll="0"/>
    <pivotField showAll="0"/>
    <pivotField showAll="0"/>
    <pivotField showAll="0"/>
    <pivotField showAll="0"/>
    <pivotField showAll="0"/>
    <pivotField showAll="0"/>
    <pivotField dataField="1" showAll="0"/>
    <pivotField showAll="0"/>
    <pivotField axis="axisRow" showAll="0">
      <items count="15">
        <item x="0"/>
        <item x="1"/>
        <item x="2"/>
        <item x="3"/>
        <item x="4"/>
        <item x="5"/>
        <item x="6"/>
        <item x="7"/>
        <item x="8"/>
        <item x="9"/>
        <item x="10"/>
        <item x="11"/>
        <item x="12"/>
        <item x="13"/>
        <item t="default"/>
      </items>
    </pivotField>
    <pivotField axis="axisRow" showAll="0">
      <items count="5">
        <item x="0"/>
        <item x="1"/>
        <item x="2"/>
        <item x="3"/>
        <item t="default"/>
      </items>
    </pivotField>
  </pivotFields>
  <rowFields count="2">
    <field x="14"/>
    <field x="13"/>
  </rowFields>
  <rowItems count="14">
    <i>
      <x v="1"/>
    </i>
    <i r="1">
      <x v="1"/>
    </i>
    <i r="1">
      <x v="2"/>
    </i>
    <i r="1">
      <x v="3"/>
    </i>
    <i r="1">
      <x v="4"/>
    </i>
    <i r="1">
      <x v="5"/>
    </i>
    <i r="1">
      <x v="6"/>
    </i>
    <i r="1">
      <x v="7"/>
    </i>
    <i r="1">
      <x v="8"/>
    </i>
    <i r="1">
      <x v="9"/>
    </i>
    <i r="1">
      <x v="10"/>
    </i>
    <i r="1">
      <x v="11"/>
    </i>
    <i r="1">
      <x v="12"/>
    </i>
    <i t="grand">
      <x/>
    </i>
  </rowItems>
  <colItems count="1">
    <i/>
  </colItems>
  <dataFields count="1">
    <dataField name="Sum of Net_Revenue_ZAR" fld="11" baseField="0" baseItem="0" numFmtId="166"/>
  </dataFields>
  <formats count="1">
    <format dxfId="38">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396BF25-4081-4B0F-B3D3-7CF4F2FABB78}" name="Product Performance" cacheId="3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F10:G20" firstHeaderRow="1" firstDataRow="1" firstDataCol="1"/>
  <pivotFields count="15">
    <pivotField showAll="0"/>
    <pivotField numFmtId="14" showAll="0">
      <items count="185">
        <item x="129"/>
        <item x="112"/>
        <item x="15"/>
        <item x="107"/>
        <item x="65"/>
        <item x="102"/>
        <item x="39"/>
        <item x="133"/>
        <item x="29"/>
        <item x="100"/>
        <item x="94"/>
        <item x="64"/>
        <item x="47"/>
        <item x="31"/>
        <item x="168"/>
        <item x="106"/>
        <item x="122"/>
        <item x="174"/>
        <item x="25"/>
        <item x="16"/>
        <item x="81"/>
        <item x="88"/>
        <item x="6"/>
        <item x="80"/>
        <item x="139"/>
        <item x="160"/>
        <item x="121"/>
        <item x="13"/>
        <item x="48"/>
        <item x="53"/>
        <item x="79"/>
        <item x="89"/>
        <item x="167"/>
        <item x="49"/>
        <item x="170"/>
        <item x="179"/>
        <item x="147"/>
        <item x="67"/>
        <item x="77"/>
        <item x="169"/>
        <item x="97"/>
        <item x="11"/>
        <item x="83"/>
        <item x="3"/>
        <item x="132"/>
        <item x="61"/>
        <item x="104"/>
        <item x="52"/>
        <item x="175"/>
        <item x="114"/>
        <item x="164"/>
        <item x="51"/>
        <item x="36"/>
        <item x="45"/>
        <item x="90"/>
        <item x="73"/>
        <item x="154"/>
        <item x="21"/>
        <item x="24"/>
        <item x="124"/>
        <item x="19"/>
        <item x="75"/>
        <item x="131"/>
        <item x="158"/>
        <item x="156"/>
        <item x="2"/>
        <item x="177"/>
        <item x="161"/>
        <item x="32"/>
        <item x="108"/>
        <item x="76"/>
        <item x="60"/>
        <item x="136"/>
        <item x="152"/>
        <item x="96"/>
        <item x="165"/>
        <item x="182"/>
        <item x="84"/>
        <item x="183"/>
        <item x="178"/>
        <item x="99"/>
        <item x="181"/>
        <item x="54"/>
        <item x="9"/>
        <item x="85"/>
        <item x="101"/>
        <item x="166"/>
        <item x="172"/>
        <item x="0"/>
        <item x="141"/>
        <item x="171"/>
        <item x="93"/>
        <item x="56"/>
        <item x="82"/>
        <item x="109"/>
        <item x="142"/>
        <item x="71"/>
        <item x="62"/>
        <item x="43"/>
        <item x="127"/>
        <item x="138"/>
        <item x="150"/>
        <item x="123"/>
        <item x="92"/>
        <item x="42"/>
        <item x="34"/>
        <item x="145"/>
        <item x="163"/>
        <item x="55"/>
        <item x="14"/>
        <item x="41"/>
        <item x="69"/>
        <item x="137"/>
        <item x="10"/>
        <item x="23"/>
        <item x="162"/>
        <item x="126"/>
        <item x="27"/>
        <item x="115"/>
        <item x="20"/>
        <item x="143"/>
        <item x="148"/>
        <item x="87"/>
        <item x="95"/>
        <item x="155"/>
        <item x="57"/>
        <item x="74"/>
        <item x="26"/>
        <item x="37"/>
        <item x="28"/>
        <item x="40"/>
        <item x="35"/>
        <item x="98"/>
        <item x="66"/>
        <item x="30"/>
        <item x="120"/>
        <item x="125"/>
        <item x="110"/>
        <item x="153"/>
        <item x="103"/>
        <item x="70"/>
        <item x="86"/>
        <item x="68"/>
        <item x="157"/>
        <item x="1"/>
        <item x="7"/>
        <item x="44"/>
        <item x="176"/>
        <item x="151"/>
        <item x="78"/>
        <item x="135"/>
        <item x="5"/>
        <item x="134"/>
        <item x="180"/>
        <item x="118"/>
        <item x="63"/>
        <item x="18"/>
        <item x="38"/>
        <item x="119"/>
        <item x="113"/>
        <item x="105"/>
        <item x="111"/>
        <item x="130"/>
        <item x="146"/>
        <item x="117"/>
        <item x="4"/>
        <item x="173"/>
        <item x="17"/>
        <item x="12"/>
        <item x="59"/>
        <item x="50"/>
        <item x="159"/>
        <item x="149"/>
        <item x="116"/>
        <item x="8"/>
        <item x="46"/>
        <item x="72"/>
        <item x="140"/>
        <item x="58"/>
        <item x="22"/>
        <item x="33"/>
        <item x="128"/>
        <item x="144"/>
        <item x="91"/>
        <item t="default"/>
      </items>
    </pivotField>
    <pivotField showAll="0"/>
    <pivotField axis="axisRow" showAll="0">
      <items count="10">
        <item x="6"/>
        <item x="1"/>
        <item x="8"/>
        <item x="3"/>
        <item x="2"/>
        <item x="0"/>
        <item x="4"/>
        <item x="7"/>
        <item x="5"/>
        <item t="default"/>
      </items>
    </pivotField>
    <pivotField showAll="0"/>
    <pivotField showAll="0"/>
    <pivotField showAll="0"/>
    <pivotField showAll="0"/>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Fields count="1">
    <field x="3"/>
  </rowFields>
  <rowItems count="10">
    <i>
      <x/>
    </i>
    <i>
      <x v="1"/>
    </i>
    <i>
      <x v="2"/>
    </i>
    <i>
      <x v="3"/>
    </i>
    <i>
      <x v="4"/>
    </i>
    <i>
      <x v="5"/>
    </i>
    <i>
      <x v="6"/>
    </i>
    <i>
      <x v="7"/>
    </i>
    <i>
      <x v="8"/>
    </i>
    <i t="grand">
      <x/>
    </i>
  </rowItems>
  <colItems count="1">
    <i/>
  </colItems>
  <dataFields count="1">
    <dataField name="Sum of Net_Revenue_ZAR" fld="11" baseField="3" baseItem="0" numFmtId="44"/>
  </dataFields>
  <formats count="1">
    <format dxfId="37">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ABFFE3E-A23B-4624-86B4-E77026AE6A35}" name="tblSales" displayName="tblSales" ref="A1:I241" totalsRowShown="0" headerRowDxfId="33" dataDxfId="65">
  <autoFilter ref="A1:I241" xr:uid="{0ABFFE3E-A23B-4624-86B4-E77026AE6A35}"/>
  <tableColumns count="9">
    <tableColumn id="1" xr3:uid="{0DD8323B-77BA-4B51-9D12-1FCCAC56E225}" name="Order_ID" dataDxfId="45"/>
    <tableColumn id="2" xr3:uid="{FC4C8D91-615B-41D3-ABFB-C43E761EDA07}" name="Order_Date" dataDxfId="43"/>
    <tableColumn id="3" xr3:uid="{8887C44D-3F53-4B3F-8A1C-07C3A34C5177}" name="Region" dataDxfId="44"/>
    <tableColumn id="4" xr3:uid="{F9502F39-08EA-4A1C-AD25-53E8429F69B4}" name="Product" dataDxfId="71"/>
    <tableColumn id="5" xr3:uid="{FF3B948C-6C8E-4DBB-B913-FB2F53BCE148}" name="Category" dataDxfId="70"/>
    <tableColumn id="6" xr3:uid="{57609335-ADF6-4EC2-A804-8B13D0B805F5}" name="Quantity" dataDxfId="69"/>
    <tableColumn id="7" xr3:uid="{C416B54F-0CD9-4BA7-9D8F-A57BC147EFA6}" name="Unit_Price_ZAR" dataDxfId="68"/>
    <tableColumn id="8" xr3:uid="{970611E1-E1E7-48BB-A656-276381883BC7}" name="Unit_Cost_ZAR" dataDxfId="67"/>
    <tableColumn id="9" xr3:uid="{E904C16B-B591-42B5-974A-6DBDF4EDC294}" name="Discount_Pct" dataDxfId="66"/>
  </tableColumns>
  <tableStyleInfo name="TableStyleMedium1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8E089EF-8A55-4EFD-AA00-81234DEDBB2C}" name="tblSalesClean" displayName="tblSalesClean" ref="A1:M241" totalsRowShown="0" headerRowDxfId="32" dataDxfId="55">
  <autoFilter ref="A1:M241" xr:uid="{0ABFFE3E-A23B-4624-86B4-E77026AE6A35}"/>
  <tableColumns count="13">
    <tableColumn id="1" xr3:uid="{78D4288E-FA94-4ED2-AE44-A95E861CEAE9}" name="Order_ID" dataDxfId="48"/>
    <tableColumn id="2" xr3:uid="{4EAE7B59-2575-444F-B336-067B79777152}" name="Order_Date" dataDxfId="46"/>
    <tableColumn id="3" xr3:uid="{A88A1BD9-3568-404E-983C-835C77246525}" name="Region" dataDxfId="47"/>
    <tableColumn id="4" xr3:uid="{E5469B5F-F77C-4CB1-92BD-588A9FA1061D}" name="Product" dataDxfId="54"/>
    <tableColumn id="5" xr3:uid="{002258F5-E426-404F-81F6-83434D8B4C6A}" name="Category" dataDxfId="53"/>
    <tableColumn id="6" xr3:uid="{25651074-9D76-4F25-9BDD-C9106460C3E2}" name="Quantity" dataDxfId="52"/>
    <tableColumn id="7" xr3:uid="{09BC22F1-2371-4052-8C0F-DD55CBC8EE8F}" name="Unit_Price_ZAR" dataDxfId="51"/>
    <tableColumn id="8" xr3:uid="{B107C135-25C8-47F1-9163-6BD4A2514A26}" name="Unit_Cost_ZAR" dataDxfId="50"/>
    <tableColumn id="9" xr3:uid="{6966C2D3-9A78-423A-9CD0-71958FA54184}" name="Discount_Pct" dataDxfId="49"/>
    <tableColumn id="10" xr3:uid="{41ABE48D-2900-4470-BC48-011AE808E2A0}" name="Data_Quality_Status" dataDxfId="39">
      <calculatedColumnFormula>IF(OR(tblSalesClean[[#This Row],[Quantity]]="",tblSalesClean[[#This Row],[Discount_Pct]]=""),"Incomplete","Complete")</calculatedColumnFormula>
    </tableColumn>
    <tableColumn id="11" xr3:uid="{8673CB58-F900-4B32-A8D1-749092BC208C}" name="Gross_Revenue_ZAR" dataDxfId="42">
      <calculatedColumnFormula>IF(OR(tblSalesClean[[#This Row],[Quantity]]="",tblSalesClean[[#This Row],[Unit_Price_ZAR]]=""),"",tblSalesClean[[#This Row],[Quantity]]*tblSalesClean[[#This Row],[Unit_Price_ZAR]])</calculatedColumnFormula>
    </tableColumn>
    <tableColumn id="12" xr3:uid="{161486E9-C695-4BC5-8A57-DCD7090F8CBA}" name="Net_Revenue_ZAR" dataDxfId="41">
      <calculatedColumnFormula>IF(OR(tblSalesClean[[#This Row],[Gross_Revenue_ZAR]]="",tblSalesClean[[#This Row],[Discount_Pct]]=""),"",tblSalesClean[[#This Row],[Gross_Revenue_ZAR]]*(1-tblSalesClean[[#This Row],[Discount_Pct]]))</calculatedColumnFormula>
    </tableColumn>
    <tableColumn id="13" xr3:uid="{B641146F-D3E6-40C3-87E4-2A7F78A499C4}" name="Gross_Profit_ZAR" dataDxfId="40">
      <calculatedColumnFormula>IF(OR(tblSalesClean[[#This Row],[Net_Revenue_ZAR]]="",tblSalesClean[[#This Row],[Quantity]]="",tblSalesClean[[#This Row],[Unit_Cost_ZAR]]=""),"",tblSalesClean[[#This Row],[Net_Revenue_ZAR]]-(tblSalesClean[[#This Row],[Quantity]]*tblSalesClean[[#This Row],[Unit_Cost_ZAR]]))</calculatedColumnFormula>
    </tableColumn>
  </tableColumns>
  <tableStyleInfo name="TableStyleMedium16"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EE811E8-2CF6-42FC-A615-DDD1D8D6A340}" name="tblCleaning" displayName="tblCleaning" ref="B9:H16" totalsRowShown="0" headerRowDxfId="64" dataDxfId="63">
  <autoFilter ref="B9:H16" xr:uid="{3EE811E8-2CF6-42FC-A615-DDD1D8D6A340}"/>
  <tableColumns count="7">
    <tableColumn id="1" xr3:uid="{BEF878B6-4097-462B-A6B5-E31CDA52CD38}" name="Order ID" dataDxfId="58"/>
    <tableColumn id="2" xr3:uid="{1EA9549F-5503-4669-95FF-F30E412F0081}" name="Column" dataDxfId="59"/>
    <tableColumn id="3" xr3:uid="{FCA65350-CBC7-4FA9-9546-CF8E51EA4976}" name="Original Value" dataDxfId="62"/>
    <tableColumn id="4" xr3:uid="{2AFFED46-8BBE-4E8D-B845-38A9B5826A7B}" name="Issue Type" dataDxfId="61"/>
    <tableColumn id="5" xr3:uid="{189C8C9F-3541-4DD1-B83C-3778D07C0C05}" name="Proposed Action" dataDxfId="60"/>
    <tableColumn id="6" xr3:uid="{1BE2076A-EF9D-4653-B202-48C3410C3B95}" name="Status" dataDxfId="56"/>
    <tableColumn id="7" xr3:uid="{FF42434D-CB6E-47B4-9AC3-F38AFD33E567}" name="Notes" dataDxfId="57"/>
  </tableColumns>
  <tableStyleInfo name="TableStyleMedium16"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2A96C2A-F04A-4F48-80E1-358EE4147F88}" name="Table5" displayName="Table5" ref="A4:D9" totalsRowShown="0" headerRowDxfId="31" dataDxfId="30">
  <autoFilter ref="A4:D9" xr:uid="{72A96C2A-F04A-4F48-80E1-358EE4147F88}"/>
  <tableColumns count="4">
    <tableColumn id="1" xr3:uid="{F3527933-9A0D-4EBF-A56D-6F29DA17810C}" name="Finding" dataDxfId="29"/>
    <tableColumn id="2" xr3:uid="{33470F42-9114-408C-832B-AAFDF0231093}" name="Category" dataDxfId="28"/>
    <tableColumn id="3" xr3:uid="{F58C13B8-043E-43A0-B9F0-0A7C4E517AF0}" name="Observation and Evidence" dataDxfId="27"/>
    <tableColumn id="4" xr3:uid="{56DC4E9D-4377-4190-9383-78F79755E053}" name="Business Implication" dataDxfId="26"/>
  </tableColumns>
  <tableStyleInfo name="TableStyleMedium1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rinterSettings" Target="../printerSettings/printerSettings1.bin"/><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I241"/>
  <sheetViews>
    <sheetView workbookViewId="0">
      <selection activeCell="J5" sqref="J5"/>
    </sheetView>
  </sheetViews>
  <sheetFormatPr defaultColWidth="14.42578125" defaultRowHeight="15.75" customHeight="1" x14ac:dyDescent="0.25"/>
  <cols>
    <col min="2" max="2" width="14.42578125" style="28"/>
  </cols>
  <sheetData>
    <row r="1" spans="1:9" ht="13.5" x14ac:dyDescent="0.25">
      <c r="A1" s="36" t="s">
        <v>0</v>
      </c>
      <c r="B1" s="37" t="s">
        <v>1</v>
      </c>
      <c r="C1" s="36" t="s">
        <v>2</v>
      </c>
      <c r="D1" s="36" t="s">
        <v>3</v>
      </c>
      <c r="E1" s="36" t="s">
        <v>4</v>
      </c>
      <c r="F1" s="36" t="s">
        <v>5</v>
      </c>
      <c r="G1" s="36" t="s">
        <v>6</v>
      </c>
      <c r="H1" s="36" t="s">
        <v>7</v>
      </c>
      <c r="I1" s="36" t="s">
        <v>8</v>
      </c>
    </row>
    <row r="2" spans="1:9" ht="13.5" x14ac:dyDescent="0.25">
      <c r="A2" s="1" t="s">
        <v>9</v>
      </c>
      <c r="B2" s="3">
        <v>45828</v>
      </c>
      <c r="C2" s="1" t="s">
        <v>10</v>
      </c>
      <c r="D2" s="1" t="s">
        <v>11</v>
      </c>
      <c r="E2" s="1" t="s">
        <v>12</v>
      </c>
      <c r="F2" s="1">
        <v>2</v>
      </c>
      <c r="G2" s="1">
        <v>1850</v>
      </c>
      <c r="H2" s="1">
        <v>1200</v>
      </c>
      <c r="I2" s="1">
        <v>0.05</v>
      </c>
    </row>
    <row r="3" spans="1:9" ht="13.5" x14ac:dyDescent="0.25">
      <c r="A3" s="1" t="s">
        <v>13</v>
      </c>
      <c r="B3" s="3">
        <v>45941</v>
      </c>
      <c r="C3" s="1" t="s">
        <v>10</v>
      </c>
      <c r="D3" s="1" t="s">
        <v>14</v>
      </c>
      <c r="E3" s="1" t="s">
        <v>15</v>
      </c>
      <c r="F3" s="1">
        <v>6</v>
      </c>
      <c r="G3" s="1">
        <v>2100</v>
      </c>
      <c r="H3" s="1">
        <v>1350</v>
      </c>
      <c r="I3" s="1">
        <v>0.1</v>
      </c>
    </row>
    <row r="4" spans="1:9" ht="13.5" x14ac:dyDescent="0.25">
      <c r="A4" s="1" t="s">
        <v>16</v>
      </c>
      <c r="B4" s="3">
        <v>45785</v>
      </c>
      <c r="C4" s="1" t="s">
        <v>17</v>
      </c>
      <c r="D4" s="1" t="s">
        <v>18</v>
      </c>
      <c r="E4" s="1" t="s">
        <v>19</v>
      </c>
      <c r="F4" s="1">
        <v>1</v>
      </c>
      <c r="G4" s="1">
        <v>12500</v>
      </c>
      <c r="H4" s="1">
        <v>9400</v>
      </c>
      <c r="I4" s="1">
        <v>0.05</v>
      </c>
    </row>
    <row r="5" spans="1:9" ht="13.5" x14ac:dyDescent="0.25">
      <c r="A5" s="1" t="s">
        <v>20</v>
      </c>
      <c r="B5" s="3">
        <v>45734</v>
      </c>
      <c r="C5" s="1" t="s">
        <v>21</v>
      </c>
      <c r="D5" s="1" t="s">
        <v>22</v>
      </c>
      <c r="E5" s="1" t="s">
        <v>19</v>
      </c>
      <c r="F5" s="1">
        <v>3</v>
      </c>
      <c r="G5" s="1">
        <v>650</v>
      </c>
      <c r="H5" s="1">
        <v>340</v>
      </c>
      <c r="I5" s="1">
        <v>0</v>
      </c>
    </row>
    <row r="6" spans="1:9" ht="13.5" x14ac:dyDescent="0.25">
      <c r="A6" s="1" t="s">
        <v>23</v>
      </c>
      <c r="B6" s="3">
        <v>45993</v>
      </c>
      <c r="C6" s="1" t="s">
        <v>17</v>
      </c>
      <c r="D6" s="1" t="s">
        <v>14</v>
      </c>
      <c r="E6" s="1" t="s">
        <v>15</v>
      </c>
      <c r="F6" s="1">
        <v>5</v>
      </c>
      <c r="G6" s="1">
        <v>2100</v>
      </c>
      <c r="H6" s="1">
        <v>1350</v>
      </c>
      <c r="I6" s="1">
        <v>0</v>
      </c>
    </row>
    <row r="7" spans="1:9" ht="13.5" x14ac:dyDescent="0.25">
      <c r="A7" s="1" t="s">
        <v>24</v>
      </c>
      <c r="B7" s="3">
        <v>45958</v>
      </c>
      <c r="C7" s="1" t="s">
        <v>10</v>
      </c>
      <c r="D7" s="1" t="s">
        <v>25</v>
      </c>
      <c r="E7" s="1" t="s">
        <v>19</v>
      </c>
      <c r="F7" s="1">
        <v>3</v>
      </c>
      <c r="G7" s="1">
        <v>3400</v>
      </c>
      <c r="H7" s="1">
        <v>2300</v>
      </c>
      <c r="I7" s="1">
        <v>0.15</v>
      </c>
    </row>
    <row r="8" spans="1:9" ht="13.5" x14ac:dyDescent="0.25">
      <c r="A8" s="1" t="s">
        <v>26</v>
      </c>
      <c r="B8" s="3">
        <v>45695</v>
      </c>
      <c r="C8" s="1" t="s">
        <v>27</v>
      </c>
      <c r="D8" s="1" t="s">
        <v>28</v>
      </c>
      <c r="E8" s="1" t="s">
        <v>15</v>
      </c>
      <c r="F8" s="1">
        <v>6</v>
      </c>
      <c r="G8" s="1">
        <v>2800</v>
      </c>
      <c r="H8" s="1">
        <v>1900</v>
      </c>
      <c r="I8" s="1">
        <v>0.05</v>
      </c>
    </row>
    <row r="9" spans="1:9" ht="13.5" x14ac:dyDescent="0.25">
      <c r="A9" s="1" t="s">
        <v>29</v>
      </c>
      <c r="B9" s="3">
        <v>45942</v>
      </c>
      <c r="C9" s="1" t="s">
        <v>17</v>
      </c>
      <c r="D9" s="1" t="s">
        <v>22</v>
      </c>
      <c r="E9" s="1" t="s">
        <v>19</v>
      </c>
      <c r="F9" s="1">
        <v>1</v>
      </c>
      <c r="G9" s="1">
        <v>650</v>
      </c>
      <c r="H9" s="1">
        <v>340</v>
      </c>
      <c r="I9" s="1">
        <v>0</v>
      </c>
    </row>
    <row r="10" spans="1:9" ht="13.5" x14ac:dyDescent="0.25">
      <c r="A10" s="1" t="s">
        <v>30</v>
      </c>
      <c r="B10" s="3">
        <v>46010</v>
      </c>
      <c r="C10" s="1" t="s">
        <v>21</v>
      </c>
      <c r="D10" s="1" t="s">
        <v>22</v>
      </c>
      <c r="E10" s="1" t="s">
        <v>19</v>
      </c>
      <c r="F10" s="1">
        <v>2</v>
      </c>
      <c r="G10" s="1">
        <v>650</v>
      </c>
      <c r="H10" s="1">
        <v>340</v>
      </c>
      <c r="I10" s="1">
        <v>0</v>
      </c>
    </row>
    <row r="11" spans="1:9" ht="13.5" x14ac:dyDescent="0.25">
      <c r="A11" s="1" t="s">
        <v>31</v>
      </c>
      <c r="B11" s="3">
        <v>45820</v>
      </c>
      <c r="C11" s="1" t="s">
        <v>10</v>
      </c>
      <c r="D11" s="1" t="s">
        <v>14</v>
      </c>
      <c r="E11" s="1" t="s">
        <v>15</v>
      </c>
      <c r="F11" s="1">
        <v>1</v>
      </c>
      <c r="G11" s="1">
        <v>2100</v>
      </c>
      <c r="H11" s="1">
        <v>1350</v>
      </c>
      <c r="I11" s="1">
        <v>0.1</v>
      </c>
    </row>
    <row r="12" spans="1:9" ht="13.5" x14ac:dyDescent="0.25">
      <c r="A12" s="1" t="s">
        <v>32</v>
      </c>
      <c r="B12" s="3">
        <v>45880</v>
      </c>
      <c r="C12" s="1" t="s">
        <v>27</v>
      </c>
      <c r="D12" s="1" t="s">
        <v>22</v>
      </c>
      <c r="E12" s="1" t="s">
        <v>19</v>
      </c>
      <c r="F12" s="1">
        <v>1</v>
      </c>
      <c r="G12" s="1">
        <v>650</v>
      </c>
      <c r="H12" s="1">
        <v>340</v>
      </c>
      <c r="I12" s="1">
        <v>0</v>
      </c>
    </row>
    <row r="13" spans="1:9" ht="13.5" x14ac:dyDescent="0.25">
      <c r="A13" s="1" t="s">
        <v>33</v>
      </c>
      <c r="B13" s="3">
        <v>45732</v>
      </c>
      <c r="C13" s="1" t="s">
        <v>10</v>
      </c>
      <c r="D13" s="1" t="s">
        <v>11</v>
      </c>
      <c r="E13" s="1" t="s">
        <v>12</v>
      </c>
      <c r="F13" s="1">
        <v>1</v>
      </c>
      <c r="G13" s="1">
        <v>1850</v>
      </c>
      <c r="H13" s="1">
        <v>1200</v>
      </c>
      <c r="I13" s="1">
        <v>0.05</v>
      </c>
    </row>
    <row r="14" spans="1:9" ht="13.5" x14ac:dyDescent="0.25">
      <c r="A14" s="1" t="s">
        <v>34</v>
      </c>
      <c r="B14" s="3">
        <v>45997</v>
      </c>
      <c r="C14" s="1" t="s">
        <v>17</v>
      </c>
      <c r="D14" s="1" t="s">
        <v>18</v>
      </c>
      <c r="E14" s="1" t="s">
        <v>19</v>
      </c>
      <c r="F14" s="1">
        <v>4</v>
      </c>
      <c r="G14" s="1">
        <v>12500</v>
      </c>
      <c r="H14" s="1">
        <v>9400</v>
      </c>
      <c r="I14" s="1">
        <v>0</v>
      </c>
    </row>
    <row r="15" spans="1:9" ht="13.5" x14ac:dyDescent="0.25">
      <c r="A15" s="1" t="s">
        <v>35</v>
      </c>
      <c r="B15" s="3">
        <v>45701</v>
      </c>
      <c r="C15" s="1" t="s">
        <v>10</v>
      </c>
      <c r="D15" s="1" t="s">
        <v>18</v>
      </c>
      <c r="E15" s="1" t="s">
        <v>19</v>
      </c>
      <c r="F15" s="1">
        <v>4</v>
      </c>
      <c r="G15" s="1">
        <v>12500</v>
      </c>
      <c r="H15" s="1">
        <v>9400</v>
      </c>
      <c r="I15" s="1">
        <v>0.15</v>
      </c>
    </row>
    <row r="16" spans="1:9" ht="13.5" x14ac:dyDescent="0.25">
      <c r="A16" s="1" t="s">
        <v>36</v>
      </c>
      <c r="B16" s="3">
        <v>45875</v>
      </c>
      <c r="C16" s="1" t="s">
        <v>17</v>
      </c>
      <c r="D16" s="1" t="s">
        <v>11</v>
      </c>
      <c r="E16" s="1" t="s">
        <v>12</v>
      </c>
      <c r="F16" s="1">
        <v>3</v>
      </c>
      <c r="G16" s="1">
        <v>1850</v>
      </c>
      <c r="H16" s="1">
        <v>1200</v>
      </c>
      <c r="I16" s="1">
        <v>0.1</v>
      </c>
    </row>
    <row r="17" spans="1:9" ht="13.5" x14ac:dyDescent="0.25">
      <c r="A17" s="1" t="s">
        <v>37</v>
      </c>
      <c r="B17" s="3">
        <v>45665</v>
      </c>
      <c r="C17" s="1" t="s">
        <v>17</v>
      </c>
      <c r="D17" s="1" t="s">
        <v>18</v>
      </c>
      <c r="E17" s="1" t="s">
        <v>19</v>
      </c>
      <c r="F17" s="1">
        <v>3</v>
      </c>
      <c r="G17" s="1">
        <v>12500</v>
      </c>
      <c r="H17" s="1">
        <v>9400</v>
      </c>
      <c r="I17" s="1">
        <v>0</v>
      </c>
    </row>
    <row r="18" spans="1:9" ht="13.5" x14ac:dyDescent="0.25">
      <c r="A18" s="1" t="s">
        <v>38</v>
      </c>
      <c r="B18" s="3">
        <v>45691</v>
      </c>
      <c r="C18" s="1" t="s">
        <v>27</v>
      </c>
      <c r="D18" s="1" t="s">
        <v>22</v>
      </c>
      <c r="E18" s="1" t="s">
        <v>19</v>
      </c>
      <c r="F18" s="1">
        <v>6</v>
      </c>
      <c r="G18" s="1">
        <v>650</v>
      </c>
      <c r="H18" s="1">
        <v>340</v>
      </c>
      <c r="I18" s="1">
        <v>0.15</v>
      </c>
    </row>
    <row r="19" spans="1:9" ht="13.5" x14ac:dyDescent="0.25">
      <c r="A19" s="1" t="s">
        <v>39</v>
      </c>
      <c r="B19" s="3">
        <v>45996</v>
      </c>
      <c r="C19" s="1" t="s">
        <v>27</v>
      </c>
      <c r="D19" s="1" t="s">
        <v>25</v>
      </c>
      <c r="E19" s="1" t="s">
        <v>19</v>
      </c>
      <c r="F19" s="1">
        <v>4</v>
      </c>
      <c r="G19" s="1">
        <v>3400</v>
      </c>
      <c r="H19" s="1">
        <v>2300</v>
      </c>
      <c r="I19" s="1">
        <v>0.15</v>
      </c>
    </row>
    <row r="20" spans="1:9" ht="13.5" x14ac:dyDescent="0.25">
      <c r="A20" s="1" t="s">
        <v>40</v>
      </c>
      <c r="B20" s="3">
        <v>45969</v>
      </c>
      <c r="C20" s="1" t="s">
        <v>17</v>
      </c>
      <c r="D20" s="1" t="s">
        <v>25</v>
      </c>
      <c r="E20" s="1" t="s">
        <v>19</v>
      </c>
      <c r="F20" s="1">
        <v>5</v>
      </c>
      <c r="G20" s="1">
        <v>3400</v>
      </c>
      <c r="H20" s="1">
        <v>2300</v>
      </c>
      <c r="I20" s="1">
        <v>0</v>
      </c>
    </row>
    <row r="21" spans="1:9" ht="13.5" x14ac:dyDescent="0.25">
      <c r="A21" s="1" t="s">
        <v>41</v>
      </c>
      <c r="B21" s="3">
        <v>45770</v>
      </c>
      <c r="C21" s="1" t="s">
        <v>17</v>
      </c>
      <c r="D21" s="1" t="s">
        <v>28</v>
      </c>
      <c r="E21" s="1" t="s">
        <v>15</v>
      </c>
      <c r="F21" s="1">
        <v>6</v>
      </c>
      <c r="G21" s="1">
        <v>2800</v>
      </c>
      <c r="H21" s="1">
        <v>1900</v>
      </c>
      <c r="I21" s="1">
        <v>0.05</v>
      </c>
    </row>
    <row r="22" spans="1:9" ht="13.5" x14ac:dyDescent="0.25">
      <c r="A22" s="1" t="s">
        <v>42</v>
      </c>
      <c r="B22" s="3">
        <v>45888</v>
      </c>
      <c r="C22" s="1" t="s">
        <v>10</v>
      </c>
      <c r="D22" s="1" t="s">
        <v>11</v>
      </c>
      <c r="E22" s="1" t="s">
        <v>12</v>
      </c>
      <c r="F22" s="1">
        <v>6</v>
      </c>
      <c r="G22" s="1">
        <v>1850</v>
      </c>
      <c r="H22" s="1">
        <v>1200</v>
      </c>
      <c r="I22" s="1">
        <v>0</v>
      </c>
    </row>
    <row r="23" spans="1:9" ht="13.5" x14ac:dyDescent="0.25">
      <c r="A23" s="1" t="s">
        <v>43</v>
      </c>
      <c r="B23" s="3">
        <v>45766</v>
      </c>
      <c r="C23" s="1" t="s">
        <v>21</v>
      </c>
      <c r="D23" s="1" t="s">
        <v>44</v>
      </c>
      <c r="E23" s="1" t="s">
        <v>12</v>
      </c>
      <c r="F23" s="1">
        <v>2</v>
      </c>
      <c r="G23" s="1">
        <v>1100</v>
      </c>
      <c r="H23" s="1">
        <v>650</v>
      </c>
      <c r="I23" s="1">
        <v>0</v>
      </c>
    </row>
    <row r="24" spans="1:9" ht="13.5" x14ac:dyDescent="0.25">
      <c r="A24" s="1" t="s">
        <v>45</v>
      </c>
      <c r="B24" s="3">
        <v>46018</v>
      </c>
      <c r="C24" s="8" t="s">
        <v>46</v>
      </c>
      <c r="D24" s="1" t="s">
        <v>11</v>
      </c>
      <c r="E24" s="1" t="s">
        <v>12</v>
      </c>
      <c r="F24" s="1">
        <v>5</v>
      </c>
      <c r="G24" s="1">
        <v>1850</v>
      </c>
      <c r="H24" s="1">
        <v>1200</v>
      </c>
      <c r="I24" s="1">
        <v>0.05</v>
      </c>
    </row>
    <row r="25" spans="1:9" ht="13.5" x14ac:dyDescent="0.25">
      <c r="A25" s="1" t="s">
        <v>47</v>
      </c>
      <c r="B25" s="3">
        <v>45883</v>
      </c>
      <c r="C25" s="1" t="s">
        <v>27</v>
      </c>
      <c r="D25" s="1" t="s">
        <v>14</v>
      </c>
      <c r="E25" s="1" t="s">
        <v>15</v>
      </c>
      <c r="F25" s="1">
        <v>2</v>
      </c>
      <c r="G25" s="1">
        <v>2100</v>
      </c>
      <c r="H25" s="1">
        <v>1350</v>
      </c>
      <c r="I25" s="1">
        <v>0.1</v>
      </c>
    </row>
    <row r="26" spans="1:9" ht="13.5" x14ac:dyDescent="0.25">
      <c r="A26" s="1" t="s">
        <v>48</v>
      </c>
      <c r="B26" s="3">
        <v>45767</v>
      </c>
      <c r="C26" s="1" t="s">
        <v>10</v>
      </c>
      <c r="D26" s="1" t="s">
        <v>22</v>
      </c>
      <c r="E26" s="1" t="s">
        <v>19</v>
      </c>
      <c r="F26" s="1">
        <v>2</v>
      </c>
      <c r="G26" s="1">
        <v>650</v>
      </c>
      <c r="H26" s="1">
        <v>340</v>
      </c>
      <c r="I26" s="1">
        <v>0.05</v>
      </c>
    </row>
    <row r="27" spans="1:9" ht="13.5" x14ac:dyDescent="0.25">
      <c r="A27" s="1" t="s">
        <v>49</v>
      </c>
      <c r="B27" s="3">
        <v>45690</v>
      </c>
      <c r="C27" s="1" t="s">
        <v>21</v>
      </c>
      <c r="D27" s="1" t="s">
        <v>28</v>
      </c>
      <c r="E27" s="1" t="s">
        <v>15</v>
      </c>
      <c r="F27" s="1">
        <v>5</v>
      </c>
      <c r="G27" s="1">
        <v>2800</v>
      </c>
      <c r="H27" s="1">
        <v>1900</v>
      </c>
      <c r="I27" s="1">
        <v>0.1</v>
      </c>
    </row>
    <row r="28" spans="1:9" ht="13.5" x14ac:dyDescent="0.25">
      <c r="A28" s="1" t="s">
        <v>50</v>
      </c>
      <c r="B28" s="3">
        <v>45910</v>
      </c>
      <c r="C28" s="1" t="s">
        <v>10</v>
      </c>
      <c r="D28" s="1" t="s">
        <v>22</v>
      </c>
      <c r="E28" s="1" t="s">
        <v>19</v>
      </c>
      <c r="F28" s="1">
        <v>2</v>
      </c>
      <c r="G28" s="1">
        <v>650</v>
      </c>
      <c r="H28" s="1">
        <v>340</v>
      </c>
      <c r="I28" s="1">
        <v>0.05</v>
      </c>
    </row>
    <row r="29" spans="1:9" ht="13.5" x14ac:dyDescent="0.25">
      <c r="A29" s="1" t="s">
        <v>51</v>
      </c>
      <c r="B29" s="3">
        <v>45886</v>
      </c>
      <c r="C29" s="1" t="s">
        <v>17</v>
      </c>
      <c r="D29" s="1" t="s">
        <v>25</v>
      </c>
      <c r="E29" s="1" t="s">
        <v>19</v>
      </c>
      <c r="F29" s="1">
        <v>6</v>
      </c>
      <c r="G29" s="1">
        <v>3400</v>
      </c>
      <c r="H29" s="1">
        <v>2300</v>
      </c>
      <c r="I29" s="1">
        <v>0</v>
      </c>
    </row>
    <row r="30" spans="1:9" ht="13.5" x14ac:dyDescent="0.25">
      <c r="A30" s="1" t="s">
        <v>52</v>
      </c>
      <c r="B30" s="3">
        <v>45912</v>
      </c>
      <c r="C30" s="1" t="s">
        <v>10</v>
      </c>
      <c r="D30" s="1" t="s">
        <v>44</v>
      </c>
      <c r="E30" s="1" t="s">
        <v>12</v>
      </c>
      <c r="F30" s="1">
        <v>3</v>
      </c>
      <c r="G30" s="1">
        <v>1100</v>
      </c>
      <c r="H30" s="1">
        <v>650</v>
      </c>
      <c r="I30" s="1">
        <v>0</v>
      </c>
    </row>
    <row r="31" spans="1:9" ht="13.5" x14ac:dyDescent="0.25">
      <c r="A31" s="1" t="s">
        <v>53</v>
      </c>
      <c r="B31" s="3">
        <v>45673</v>
      </c>
      <c r="C31" s="1" t="s">
        <v>10</v>
      </c>
      <c r="D31" s="1" t="s">
        <v>54</v>
      </c>
      <c r="E31" s="1" t="s">
        <v>15</v>
      </c>
      <c r="F31" s="1">
        <v>6</v>
      </c>
      <c r="G31" s="1">
        <v>3900</v>
      </c>
      <c r="H31" s="1">
        <v>2700</v>
      </c>
      <c r="I31" s="1">
        <v>0</v>
      </c>
    </row>
    <row r="32" spans="1:9" ht="13.5" x14ac:dyDescent="0.25">
      <c r="A32" s="1" t="s">
        <v>55</v>
      </c>
      <c r="B32" s="3">
        <v>45920</v>
      </c>
      <c r="C32" s="1" t="s">
        <v>17</v>
      </c>
      <c r="D32" s="1" t="s">
        <v>22</v>
      </c>
      <c r="E32" s="1" t="s">
        <v>19</v>
      </c>
      <c r="F32" s="1">
        <v>2</v>
      </c>
      <c r="G32" s="1">
        <v>650</v>
      </c>
      <c r="H32" s="1">
        <v>340</v>
      </c>
      <c r="I32" s="1">
        <v>0.05</v>
      </c>
    </row>
    <row r="33" spans="1:9" ht="13.5" x14ac:dyDescent="0.25">
      <c r="A33" s="1" t="s">
        <v>56</v>
      </c>
      <c r="B33" s="3">
        <v>45679</v>
      </c>
      <c r="C33" s="1" t="s">
        <v>17</v>
      </c>
      <c r="D33" s="1" t="s">
        <v>25</v>
      </c>
      <c r="E33" s="1" t="s">
        <v>19</v>
      </c>
      <c r="F33" s="1">
        <v>5</v>
      </c>
      <c r="G33" s="1">
        <v>3400</v>
      </c>
      <c r="H33" s="1">
        <v>2300</v>
      </c>
      <c r="I33" s="1">
        <v>0.15</v>
      </c>
    </row>
    <row r="34" spans="1:9" ht="13.5" x14ac:dyDescent="0.25">
      <c r="A34" s="1" t="s">
        <v>57</v>
      </c>
      <c r="B34" s="3">
        <v>45767</v>
      </c>
      <c r="C34" s="1" t="s">
        <v>17</v>
      </c>
      <c r="D34" s="1" t="s">
        <v>54</v>
      </c>
      <c r="E34" s="1" t="s">
        <v>15</v>
      </c>
      <c r="F34" s="1">
        <v>3</v>
      </c>
      <c r="G34" s="1">
        <v>3900</v>
      </c>
      <c r="H34" s="1">
        <v>2700</v>
      </c>
      <c r="I34" s="1">
        <v>0</v>
      </c>
    </row>
    <row r="35" spans="1:9" ht="13.5" x14ac:dyDescent="0.25">
      <c r="A35" s="1" t="s">
        <v>58</v>
      </c>
      <c r="B35" s="3">
        <v>45790</v>
      </c>
      <c r="C35" s="1" t="s">
        <v>27</v>
      </c>
      <c r="D35" s="1" t="s">
        <v>22</v>
      </c>
      <c r="E35" s="1" t="s">
        <v>19</v>
      </c>
      <c r="F35" s="1">
        <v>5</v>
      </c>
      <c r="G35" s="1">
        <v>650</v>
      </c>
      <c r="H35" s="1">
        <v>340</v>
      </c>
      <c r="I35" s="1">
        <v>0</v>
      </c>
    </row>
    <row r="36" spans="1:9" ht="13.5" x14ac:dyDescent="0.25">
      <c r="A36" s="1" t="s">
        <v>59</v>
      </c>
      <c r="B36" s="3">
        <v>46019</v>
      </c>
      <c r="C36" s="1" t="s">
        <v>10</v>
      </c>
      <c r="D36" s="1" t="s">
        <v>25</v>
      </c>
      <c r="E36" s="1" t="s">
        <v>19</v>
      </c>
      <c r="F36" s="1">
        <v>5</v>
      </c>
      <c r="G36" s="1">
        <v>3400</v>
      </c>
      <c r="H36" s="1">
        <v>2300</v>
      </c>
      <c r="I36" s="1">
        <v>0.05</v>
      </c>
    </row>
    <row r="37" spans="1:9" ht="13.5" x14ac:dyDescent="0.25">
      <c r="A37" s="1" t="s">
        <v>60</v>
      </c>
      <c r="B37" s="3">
        <v>45864</v>
      </c>
      <c r="C37" s="1" t="s">
        <v>27</v>
      </c>
      <c r="D37" s="1" t="s">
        <v>14</v>
      </c>
      <c r="E37" s="1" t="s">
        <v>15</v>
      </c>
      <c r="F37" s="1">
        <v>6</v>
      </c>
      <c r="G37" s="1">
        <v>2100</v>
      </c>
      <c r="H37" s="1">
        <v>1350</v>
      </c>
      <c r="I37" s="1">
        <v>0</v>
      </c>
    </row>
    <row r="38" spans="1:9" ht="13.5" x14ac:dyDescent="0.25">
      <c r="A38" s="1" t="s">
        <v>61</v>
      </c>
      <c r="B38" s="3">
        <v>45914</v>
      </c>
      <c r="C38" s="1" t="s">
        <v>17</v>
      </c>
      <c r="D38" s="1" t="s">
        <v>25</v>
      </c>
      <c r="E38" s="1" t="s">
        <v>19</v>
      </c>
      <c r="F38" s="1">
        <v>4</v>
      </c>
      <c r="G38" s="1">
        <v>3400</v>
      </c>
      <c r="H38" s="1">
        <v>2300</v>
      </c>
      <c r="I38" s="1">
        <v>0</v>
      </c>
    </row>
    <row r="39" spans="1:9" ht="13.5" x14ac:dyDescent="0.25">
      <c r="A39" s="1" t="s">
        <v>62</v>
      </c>
      <c r="B39" s="3">
        <v>45751</v>
      </c>
      <c r="C39" s="1" t="s">
        <v>21</v>
      </c>
      <c r="D39" s="1" t="s">
        <v>63</v>
      </c>
      <c r="E39" s="1" t="s">
        <v>12</v>
      </c>
      <c r="F39" s="1">
        <v>3</v>
      </c>
      <c r="G39" s="1">
        <v>520</v>
      </c>
      <c r="H39" s="1">
        <v>290</v>
      </c>
      <c r="I39" s="1">
        <v>0</v>
      </c>
    </row>
    <row r="40" spans="1:9" ht="13.5" x14ac:dyDescent="0.25">
      <c r="A40" s="1" t="s">
        <v>64</v>
      </c>
      <c r="B40" s="3">
        <v>45911</v>
      </c>
      <c r="C40" s="1" t="s">
        <v>17</v>
      </c>
      <c r="D40" s="1" t="s">
        <v>28</v>
      </c>
      <c r="E40" s="1" t="s">
        <v>15</v>
      </c>
      <c r="F40" s="1">
        <v>5</v>
      </c>
      <c r="G40" s="1">
        <v>2800</v>
      </c>
      <c r="H40" s="1">
        <v>1900</v>
      </c>
      <c r="I40" s="1">
        <v>0.05</v>
      </c>
    </row>
    <row r="41" spans="1:9" ht="13.5" x14ac:dyDescent="0.25">
      <c r="A41" s="1" t="s">
        <v>65</v>
      </c>
      <c r="B41" s="3">
        <v>45970</v>
      </c>
      <c r="C41" s="1" t="s">
        <v>27</v>
      </c>
      <c r="D41" s="1" t="s">
        <v>18</v>
      </c>
      <c r="E41" s="1" t="s">
        <v>19</v>
      </c>
      <c r="F41" s="1">
        <v>6</v>
      </c>
      <c r="G41" s="1">
        <v>12500</v>
      </c>
      <c r="H41" s="1">
        <v>9400</v>
      </c>
      <c r="I41" s="1">
        <v>0.15</v>
      </c>
    </row>
    <row r="42" spans="1:9" ht="13.5" x14ac:dyDescent="0.25">
      <c r="A42" s="1" t="s">
        <v>66</v>
      </c>
      <c r="B42" s="3">
        <v>45671</v>
      </c>
      <c r="C42" s="1" t="s">
        <v>27</v>
      </c>
      <c r="D42" s="1" t="s">
        <v>44</v>
      </c>
      <c r="E42" s="1" t="s">
        <v>12</v>
      </c>
      <c r="F42" s="1">
        <v>6</v>
      </c>
      <c r="G42" s="1">
        <v>1100</v>
      </c>
      <c r="H42" s="1">
        <v>650</v>
      </c>
      <c r="I42" s="1">
        <v>0</v>
      </c>
    </row>
    <row r="43" spans="1:9" ht="13.5" x14ac:dyDescent="0.25">
      <c r="A43" s="1" t="s">
        <v>67</v>
      </c>
      <c r="B43" s="3">
        <v>45913</v>
      </c>
      <c r="C43" s="1" t="s">
        <v>10</v>
      </c>
      <c r="D43" s="1" t="s">
        <v>11</v>
      </c>
      <c r="E43" s="1" t="s">
        <v>12</v>
      </c>
      <c r="F43" s="1">
        <v>3</v>
      </c>
      <c r="G43" s="1">
        <v>1850</v>
      </c>
      <c r="H43" s="1">
        <v>1200</v>
      </c>
      <c r="I43" s="1">
        <v>0.1</v>
      </c>
    </row>
    <row r="44" spans="1:9" ht="13.5" x14ac:dyDescent="0.25">
      <c r="A44" s="1" t="s">
        <v>68</v>
      </c>
      <c r="B44" s="3">
        <v>45876</v>
      </c>
      <c r="C44" s="1" t="s">
        <v>27</v>
      </c>
      <c r="D44" s="1" t="s">
        <v>22</v>
      </c>
      <c r="E44" s="1" t="s">
        <v>19</v>
      </c>
      <c r="F44" s="1">
        <v>2</v>
      </c>
      <c r="G44" s="1">
        <v>650</v>
      </c>
      <c r="H44" s="1">
        <v>340</v>
      </c>
      <c r="I44" s="1">
        <v>0</v>
      </c>
    </row>
    <row r="45" spans="1:9" ht="13.5" x14ac:dyDescent="0.25">
      <c r="A45" s="1" t="s">
        <v>69</v>
      </c>
      <c r="B45" s="3">
        <v>45863</v>
      </c>
      <c r="C45" s="1" t="s">
        <v>10</v>
      </c>
      <c r="D45" s="1" t="s">
        <v>44</v>
      </c>
      <c r="E45" s="1" t="s">
        <v>12</v>
      </c>
      <c r="F45" s="1">
        <v>6</v>
      </c>
      <c r="G45" s="1">
        <v>1100</v>
      </c>
      <c r="H45" s="1">
        <v>650</v>
      </c>
      <c r="I45" s="1">
        <v>0.1</v>
      </c>
    </row>
    <row r="46" spans="1:9" ht="13.5" x14ac:dyDescent="0.25">
      <c r="A46" s="1" t="s">
        <v>70</v>
      </c>
      <c r="B46" s="3">
        <v>45850</v>
      </c>
      <c r="C46" s="1" t="s">
        <v>10</v>
      </c>
      <c r="D46" s="1" t="s">
        <v>44</v>
      </c>
      <c r="E46" s="1" t="s">
        <v>12</v>
      </c>
      <c r="F46" s="1">
        <v>3</v>
      </c>
      <c r="G46" s="1">
        <v>1100</v>
      </c>
      <c r="H46" s="1">
        <v>650</v>
      </c>
      <c r="I46" s="1">
        <v>0.1</v>
      </c>
    </row>
    <row r="47" spans="1:9" ht="13.5" x14ac:dyDescent="0.25">
      <c r="A47" s="1" t="s">
        <v>71</v>
      </c>
      <c r="B47" s="3">
        <v>45943</v>
      </c>
      <c r="C47" s="1" t="s">
        <v>27</v>
      </c>
      <c r="D47" s="1" t="s">
        <v>18</v>
      </c>
      <c r="E47" s="1" t="s">
        <v>19</v>
      </c>
      <c r="F47" s="1">
        <v>6</v>
      </c>
      <c r="G47" s="1">
        <v>12500</v>
      </c>
      <c r="H47" s="1">
        <v>9400</v>
      </c>
      <c r="I47" s="1">
        <v>0</v>
      </c>
    </row>
    <row r="48" spans="1:9" ht="13.5" x14ac:dyDescent="0.25">
      <c r="A48" s="1" t="s">
        <v>72</v>
      </c>
      <c r="B48" s="3">
        <v>45753</v>
      </c>
      <c r="C48" s="1" t="s">
        <v>10</v>
      </c>
      <c r="D48" s="1" t="s">
        <v>11</v>
      </c>
      <c r="E48" s="1" t="s">
        <v>12</v>
      </c>
      <c r="F48" s="1">
        <v>3</v>
      </c>
      <c r="G48" s="1">
        <v>1850</v>
      </c>
      <c r="H48" s="1">
        <v>1200</v>
      </c>
      <c r="I48" s="1">
        <v>0.1</v>
      </c>
    </row>
    <row r="49" spans="1:9" ht="13.5" x14ac:dyDescent="0.25">
      <c r="A49" s="1" t="s">
        <v>73</v>
      </c>
      <c r="B49" s="3">
        <v>46011</v>
      </c>
      <c r="C49" s="1" t="s">
        <v>10</v>
      </c>
      <c r="D49" s="1" t="s">
        <v>44</v>
      </c>
      <c r="E49" s="1" t="s">
        <v>12</v>
      </c>
      <c r="F49" s="1">
        <v>1</v>
      </c>
      <c r="G49" s="1">
        <v>1100</v>
      </c>
      <c r="H49" s="1">
        <v>650</v>
      </c>
      <c r="I49" s="1">
        <v>0.1</v>
      </c>
    </row>
    <row r="50" spans="1:9" ht="13.5" x14ac:dyDescent="0.25">
      <c r="A50" s="1" t="s">
        <v>74</v>
      </c>
      <c r="B50" s="3">
        <v>45678</v>
      </c>
      <c r="C50" s="1" t="s">
        <v>10</v>
      </c>
      <c r="D50" s="1" t="s">
        <v>44</v>
      </c>
      <c r="E50" s="1" t="s">
        <v>12</v>
      </c>
      <c r="F50" s="1">
        <v>2</v>
      </c>
      <c r="G50" s="1">
        <v>1100</v>
      </c>
      <c r="H50" s="1">
        <v>650</v>
      </c>
      <c r="I50" s="1">
        <v>0</v>
      </c>
    </row>
    <row r="51" spans="1:9" ht="13.5" x14ac:dyDescent="0.25">
      <c r="A51" s="1" t="s">
        <v>75</v>
      </c>
      <c r="B51" s="3">
        <v>45702</v>
      </c>
      <c r="C51" s="1" t="s">
        <v>27</v>
      </c>
      <c r="D51" s="1" t="s">
        <v>63</v>
      </c>
      <c r="E51" s="1" t="s">
        <v>12</v>
      </c>
      <c r="F51" s="1">
        <v>4</v>
      </c>
      <c r="G51" s="1">
        <v>520</v>
      </c>
      <c r="H51" s="1">
        <v>290</v>
      </c>
      <c r="I51" s="1">
        <v>0</v>
      </c>
    </row>
    <row r="52" spans="1:9" ht="13.5" x14ac:dyDescent="0.25">
      <c r="A52" s="1" t="s">
        <v>76</v>
      </c>
      <c r="B52" s="3">
        <v>45712</v>
      </c>
      <c r="C52" s="1" t="s">
        <v>10</v>
      </c>
      <c r="D52" s="1" t="s">
        <v>14</v>
      </c>
      <c r="E52" s="1" t="s">
        <v>15</v>
      </c>
      <c r="F52" s="1">
        <v>1</v>
      </c>
      <c r="G52" s="1">
        <v>2100</v>
      </c>
      <c r="H52" s="1">
        <v>1350</v>
      </c>
      <c r="I52" s="1">
        <v>0.1</v>
      </c>
    </row>
    <row r="53" spans="1:9" ht="13.5" x14ac:dyDescent="0.25">
      <c r="A53" s="1" t="s">
        <v>77</v>
      </c>
      <c r="B53" s="3">
        <v>46000</v>
      </c>
      <c r="C53" s="1" t="s">
        <v>17</v>
      </c>
      <c r="D53" s="1" t="s">
        <v>54</v>
      </c>
      <c r="E53" s="1" t="s">
        <v>15</v>
      </c>
      <c r="F53" s="1">
        <v>6</v>
      </c>
      <c r="G53" s="1">
        <v>3900</v>
      </c>
      <c r="H53" s="1">
        <v>2700</v>
      </c>
      <c r="I53" s="1">
        <v>0</v>
      </c>
    </row>
    <row r="54" spans="1:9" ht="13.5" x14ac:dyDescent="0.25">
      <c r="A54" s="1" t="s">
        <v>78</v>
      </c>
      <c r="B54" s="3">
        <v>45749</v>
      </c>
      <c r="C54" s="1" t="s">
        <v>10</v>
      </c>
      <c r="D54" s="1" t="s">
        <v>44</v>
      </c>
      <c r="E54" s="1" t="s">
        <v>12</v>
      </c>
      <c r="F54" s="1">
        <v>3</v>
      </c>
      <c r="G54" s="1">
        <v>1100</v>
      </c>
      <c r="H54" s="1">
        <v>650</v>
      </c>
      <c r="I54" s="1">
        <v>0.05</v>
      </c>
    </row>
    <row r="55" spans="1:9" ht="13.5" x14ac:dyDescent="0.25">
      <c r="A55" s="1" t="s">
        <v>79</v>
      </c>
      <c r="B55" s="3">
        <v>45740</v>
      </c>
      <c r="C55" s="1" t="s">
        <v>27</v>
      </c>
      <c r="D55" s="1" t="s">
        <v>54</v>
      </c>
      <c r="E55" s="1" t="s">
        <v>15</v>
      </c>
      <c r="F55" s="1">
        <v>2</v>
      </c>
      <c r="G55" s="1">
        <v>3900</v>
      </c>
      <c r="H55" s="1">
        <v>2700</v>
      </c>
      <c r="I55" s="1">
        <v>0</v>
      </c>
    </row>
    <row r="56" spans="1:9" ht="13.5" x14ac:dyDescent="0.25">
      <c r="A56" s="1" t="s">
        <v>80</v>
      </c>
      <c r="B56" s="3">
        <v>45703</v>
      </c>
      <c r="C56" s="1" t="s">
        <v>10</v>
      </c>
      <c r="D56" s="1" t="s">
        <v>22</v>
      </c>
      <c r="E56" s="1" t="s">
        <v>19</v>
      </c>
      <c r="F56" s="1">
        <v>1</v>
      </c>
      <c r="G56" s="1">
        <v>650</v>
      </c>
      <c r="H56" s="1">
        <v>340</v>
      </c>
      <c r="I56" s="1">
        <v>0</v>
      </c>
    </row>
    <row r="57" spans="1:9" ht="13.5" x14ac:dyDescent="0.25">
      <c r="A57" s="1" t="s">
        <v>81</v>
      </c>
      <c r="B57" s="3">
        <v>45818</v>
      </c>
      <c r="C57" s="1" t="s">
        <v>10</v>
      </c>
      <c r="D57" s="1" t="s">
        <v>14</v>
      </c>
      <c r="E57" s="1" t="s">
        <v>15</v>
      </c>
      <c r="F57" s="1">
        <v>1</v>
      </c>
      <c r="G57" s="1">
        <v>2100</v>
      </c>
      <c r="H57" s="1">
        <v>1350</v>
      </c>
      <c r="I57" s="1">
        <v>0</v>
      </c>
    </row>
    <row r="58" spans="1:9" ht="13.5" x14ac:dyDescent="0.25">
      <c r="A58" s="1" t="s">
        <v>82</v>
      </c>
      <c r="B58" s="3">
        <v>45874</v>
      </c>
      <c r="C58" s="1" t="s">
        <v>21</v>
      </c>
      <c r="D58" s="1" t="s">
        <v>18</v>
      </c>
      <c r="E58" s="1" t="s">
        <v>19</v>
      </c>
      <c r="F58" s="1">
        <v>6</v>
      </c>
      <c r="G58" s="1">
        <v>12500</v>
      </c>
      <c r="H58" s="1">
        <v>9400</v>
      </c>
      <c r="I58" s="1">
        <v>0</v>
      </c>
    </row>
    <row r="59" spans="1:9" x14ac:dyDescent="0.25">
      <c r="A59" s="1" t="s">
        <v>83</v>
      </c>
      <c r="B59" s="3">
        <v>45734</v>
      </c>
      <c r="C59" s="1" t="s">
        <v>21</v>
      </c>
      <c r="D59" s="1" t="s">
        <v>18</v>
      </c>
      <c r="E59" s="1" t="s">
        <v>19</v>
      </c>
      <c r="F59" s="1">
        <v>3</v>
      </c>
      <c r="G59" s="1">
        <v>12500</v>
      </c>
      <c r="H59" s="1">
        <v>9400</v>
      </c>
      <c r="I59" s="1">
        <v>0.1</v>
      </c>
    </row>
    <row r="60" spans="1:9" ht="13.5" x14ac:dyDescent="0.25">
      <c r="A60" s="1" t="s">
        <v>84</v>
      </c>
      <c r="B60" s="3">
        <v>45835</v>
      </c>
      <c r="C60" s="1" t="s">
        <v>21</v>
      </c>
      <c r="D60" s="1" t="s">
        <v>14</v>
      </c>
      <c r="E60" s="1" t="s">
        <v>15</v>
      </c>
      <c r="F60" s="1">
        <v>4</v>
      </c>
      <c r="G60" s="1">
        <v>2100</v>
      </c>
      <c r="H60" s="1">
        <v>1350</v>
      </c>
      <c r="I60" s="1">
        <v>0.1</v>
      </c>
    </row>
    <row r="61" spans="1:9" ht="13.5" x14ac:dyDescent="0.25">
      <c r="A61" s="1" t="s">
        <v>85</v>
      </c>
      <c r="B61" s="3">
        <v>45905</v>
      </c>
      <c r="C61" s="1" t="s">
        <v>17</v>
      </c>
      <c r="D61" s="1" t="s">
        <v>11</v>
      </c>
      <c r="E61" s="8" t="s">
        <v>86</v>
      </c>
      <c r="F61" s="1">
        <v>6</v>
      </c>
      <c r="G61" s="1">
        <v>1850</v>
      </c>
      <c r="H61" s="1">
        <v>1200</v>
      </c>
      <c r="I61" s="1">
        <v>0.15</v>
      </c>
    </row>
    <row r="62" spans="1:9" ht="13.5" x14ac:dyDescent="0.25">
      <c r="A62" s="1" t="s">
        <v>87</v>
      </c>
      <c r="B62" s="3">
        <v>46017</v>
      </c>
      <c r="C62" s="1" t="s">
        <v>10</v>
      </c>
      <c r="D62" s="1" t="s">
        <v>44</v>
      </c>
      <c r="E62" s="1" t="s">
        <v>12</v>
      </c>
      <c r="F62" s="1">
        <v>6</v>
      </c>
      <c r="G62" s="1">
        <v>1100</v>
      </c>
      <c r="H62" s="1">
        <v>650</v>
      </c>
      <c r="I62" s="1">
        <v>0</v>
      </c>
    </row>
    <row r="63" spans="1:9" ht="13.5" x14ac:dyDescent="0.25">
      <c r="A63" s="1" t="s">
        <v>88</v>
      </c>
      <c r="B63" s="3">
        <v>45671</v>
      </c>
      <c r="C63" s="1" t="s">
        <v>27</v>
      </c>
      <c r="D63" s="1" t="s">
        <v>28</v>
      </c>
      <c r="E63" s="1" t="s">
        <v>15</v>
      </c>
      <c r="F63" s="1">
        <v>5</v>
      </c>
      <c r="G63" s="1">
        <v>2800</v>
      </c>
      <c r="H63" s="1">
        <v>1900</v>
      </c>
      <c r="I63" s="1">
        <v>0</v>
      </c>
    </row>
    <row r="64" spans="1:9" ht="13.5" x14ac:dyDescent="0.25">
      <c r="A64" s="1" t="s">
        <v>89</v>
      </c>
      <c r="B64" s="3">
        <v>45998</v>
      </c>
      <c r="C64" s="1" t="s">
        <v>10</v>
      </c>
      <c r="D64" s="1" t="s">
        <v>28</v>
      </c>
      <c r="E64" s="1" t="s">
        <v>15</v>
      </c>
      <c r="F64" s="1">
        <v>3</v>
      </c>
      <c r="G64" s="1">
        <v>2800</v>
      </c>
      <c r="H64" s="1">
        <v>1900</v>
      </c>
      <c r="I64" s="1">
        <v>0</v>
      </c>
    </row>
    <row r="65" spans="1:9" ht="13.5" x14ac:dyDescent="0.25">
      <c r="A65" s="1" t="s">
        <v>90</v>
      </c>
      <c r="B65" s="3">
        <v>45796</v>
      </c>
      <c r="C65" s="1" t="s">
        <v>10</v>
      </c>
      <c r="D65" s="1" t="s">
        <v>14</v>
      </c>
      <c r="E65" s="1" t="s">
        <v>15</v>
      </c>
      <c r="F65" s="1">
        <v>1</v>
      </c>
      <c r="G65" s="1">
        <v>2100</v>
      </c>
      <c r="H65" s="1">
        <v>1350</v>
      </c>
      <c r="I65" s="1">
        <v>0</v>
      </c>
    </row>
    <row r="66" spans="1:9" ht="13.5" x14ac:dyDescent="0.25">
      <c r="A66" s="1" t="s">
        <v>91</v>
      </c>
      <c r="B66" s="3">
        <v>45737</v>
      </c>
      <c r="C66" s="1" t="s">
        <v>17</v>
      </c>
      <c r="D66" s="1" t="s">
        <v>14</v>
      </c>
      <c r="E66" s="1" t="s">
        <v>15</v>
      </c>
      <c r="F66" s="1">
        <v>5</v>
      </c>
      <c r="G66" s="1">
        <v>2100</v>
      </c>
      <c r="H66" s="1">
        <v>1350</v>
      </c>
      <c r="I66" s="1">
        <v>0.1</v>
      </c>
    </row>
    <row r="67" spans="1:9" ht="13.5" x14ac:dyDescent="0.25">
      <c r="A67" s="1" t="s">
        <v>92</v>
      </c>
      <c r="B67" s="3">
        <v>45849</v>
      </c>
      <c r="C67" s="1" t="s">
        <v>17</v>
      </c>
      <c r="D67" s="1" t="s">
        <v>18</v>
      </c>
      <c r="E67" s="1" t="s">
        <v>19</v>
      </c>
      <c r="F67" s="1">
        <v>2</v>
      </c>
      <c r="G67" s="1">
        <v>12500</v>
      </c>
      <c r="H67" s="1">
        <v>9400</v>
      </c>
      <c r="I67" s="1">
        <v>0</v>
      </c>
    </row>
    <row r="68" spans="1:9" ht="13.5" x14ac:dyDescent="0.25">
      <c r="A68" s="1" t="s">
        <v>93</v>
      </c>
      <c r="B68" s="3">
        <v>45965</v>
      </c>
      <c r="C68" s="1" t="s">
        <v>21</v>
      </c>
      <c r="D68" s="1" t="s">
        <v>11</v>
      </c>
      <c r="E68" s="1" t="s">
        <v>12</v>
      </c>
      <c r="F68" s="1">
        <v>4</v>
      </c>
      <c r="G68" s="1">
        <v>1850</v>
      </c>
      <c r="H68" s="1">
        <v>1200</v>
      </c>
      <c r="I68" s="1">
        <v>0.05</v>
      </c>
    </row>
    <row r="69" spans="1:9" ht="13.5" x14ac:dyDescent="0.25">
      <c r="A69" s="1" t="s">
        <v>94</v>
      </c>
      <c r="B69" s="3">
        <v>45677</v>
      </c>
      <c r="C69" s="1" t="s">
        <v>27</v>
      </c>
      <c r="D69" s="1" t="s">
        <v>28</v>
      </c>
      <c r="E69" s="1" t="s">
        <v>15</v>
      </c>
      <c r="F69" s="1">
        <v>1</v>
      </c>
      <c r="G69" s="1">
        <v>2800</v>
      </c>
      <c r="H69" s="1">
        <v>1900</v>
      </c>
      <c r="I69" s="1">
        <v>0</v>
      </c>
    </row>
    <row r="70" spans="1:9" ht="13.5" x14ac:dyDescent="0.25">
      <c r="A70" s="1" t="s">
        <v>95</v>
      </c>
      <c r="B70" s="3">
        <v>45668</v>
      </c>
      <c r="C70" s="1" t="s">
        <v>10</v>
      </c>
      <c r="D70" s="1" t="s">
        <v>54</v>
      </c>
      <c r="E70" s="1" t="s">
        <v>15</v>
      </c>
      <c r="F70" s="1">
        <v>4</v>
      </c>
      <c r="G70" s="1">
        <v>3900</v>
      </c>
      <c r="H70" s="1">
        <v>2700</v>
      </c>
      <c r="I70" s="1">
        <v>0.15</v>
      </c>
    </row>
    <row r="71" spans="1:9" ht="13.5" x14ac:dyDescent="0.25">
      <c r="A71" s="1" t="s">
        <v>96</v>
      </c>
      <c r="B71" s="3">
        <v>45919</v>
      </c>
      <c r="C71" s="1" t="s">
        <v>17</v>
      </c>
      <c r="D71" s="1" t="s">
        <v>25</v>
      </c>
      <c r="E71" s="1" t="s">
        <v>19</v>
      </c>
      <c r="F71" s="1">
        <v>4</v>
      </c>
      <c r="G71" s="1">
        <v>3400</v>
      </c>
      <c r="H71" s="1">
        <v>2300</v>
      </c>
      <c r="I71" s="1">
        <v>0.1</v>
      </c>
    </row>
    <row r="72" spans="1:9" ht="13.5" x14ac:dyDescent="0.25">
      <c r="A72" s="1" t="s">
        <v>97</v>
      </c>
      <c r="B72" s="3">
        <v>45719</v>
      </c>
      <c r="C72" s="1" t="s">
        <v>17</v>
      </c>
      <c r="D72" s="1" t="s">
        <v>18</v>
      </c>
      <c r="E72" s="1" t="s">
        <v>19</v>
      </c>
      <c r="F72" s="1">
        <v>4</v>
      </c>
      <c r="G72" s="1">
        <v>12500</v>
      </c>
      <c r="H72" s="1">
        <v>9400</v>
      </c>
      <c r="I72" s="1">
        <v>0.15</v>
      </c>
    </row>
    <row r="73" spans="1:9" ht="13.5" x14ac:dyDescent="0.25">
      <c r="A73" s="1" t="s">
        <v>98</v>
      </c>
      <c r="B73" s="3">
        <v>45939</v>
      </c>
      <c r="C73" s="1" t="s">
        <v>27</v>
      </c>
      <c r="D73" s="1" t="s">
        <v>25</v>
      </c>
      <c r="E73" s="1" t="s">
        <v>19</v>
      </c>
      <c r="F73" s="1">
        <v>6</v>
      </c>
      <c r="G73" s="1">
        <v>3400</v>
      </c>
      <c r="H73" s="1">
        <v>2300</v>
      </c>
      <c r="I73" s="1">
        <v>0</v>
      </c>
    </row>
    <row r="74" spans="1:9" ht="13.5" x14ac:dyDescent="0.25">
      <c r="A74" s="1" t="s">
        <v>99</v>
      </c>
      <c r="B74" s="3">
        <v>45702</v>
      </c>
      <c r="C74" s="1" t="s">
        <v>21</v>
      </c>
      <c r="D74" s="1" t="s">
        <v>18</v>
      </c>
      <c r="E74" s="1" t="s">
        <v>19</v>
      </c>
      <c r="F74" s="1">
        <v>5</v>
      </c>
      <c r="G74" s="1">
        <v>12500</v>
      </c>
      <c r="H74" s="1">
        <v>9400</v>
      </c>
      <c r="I74" s="1">
        <v>0</v>
      </c>
    </row>
    <row r="75" spans="1:9" ht="13.5" x14ac:dyDescent="0.25">
      <c r="A75" s="1" t="s">
        <v>100</v>
      </c>
      <c r="B75" s="3">
        <v>45878</v>
      </c>
      <c r="C75" s="1" t="s">
        <v>10</v>
      </c>
      <c r="D75" s="1" t="s">
        <v>63</v>
      </c>
      <c r="E75" s="1" t="s">
        <v>12</v>
      </c>
      <c r="F75" s="1">
        <v>1</v>
      </c>
      <c r="G75" s="1">
        <v>520</v>
      </c>
      <c r="H75" s="1">
        <v>290</v>
      </c>
      <c r="I75" s="1">
        <v>0</v>
      </c>
    </row>
    <row r="76" spans="1:9" ht="13.5" x14ac:dyDescent="0.25">
      <c r="A76" s="1" t="s">
        <v>101</v>
      </c>
      <c r="B76" s="3">
        <v>45933</v>
      </c>
      <c r="C76" s="1" t="s">
        <v>17</v>
      </c>
      <c r="D76" s="1" t="s">
        <v>25</v>
      </c>
      <c r="E76" s="1" t="s">
        <v>19</v>
      </c>
      <c r="F76" s="1">
        <v>3</v>
      </c>
      <c r="G76" s="1">
        <v>3400</v>
      </c>
      <c r="H76" s="1">
        <v>2300</v>
      </c>
      <c r="I76" s="1">
        <v>0.05</v>
      </c>
    </row>
    <row r="77" spans="1:9" ht="13.5" x14ac:dyDescent="0.25">
      <c r="A77" s="1" t="s">
        <v>102</v>
      </c>
      <c r="B77" s="3">
        <v>45847</v>
      </c>
      <c r="C77" s="1" t="s">
        <v>27</v>
      </c>
      <c r="D77" s="1" t="s">
        <v>28</v>
      </c>
      <c r="E77" s="1" t="s">
        <v>15</v>
      </c>
      <c r="F77" s="1">
        <v>5</v>
      </c>
      <c r="G77" s="1">
        <v>2800</v>
      </c>
      <c r="H77" s="1">
        <v>1900</v>
      </c>
      <c r="I77" s="1">
        <v>0</v>
      </c>
    </row>
    <row r="78" spans="1:9" ht="13.5" x14ac:dyDescent="0.25">
      <c r="A78" s="1" t="s">
        <v>103</v>
      </c>
      <c r="B78" s="3">
        <v>46014</v>
      </c>
      <c r="C78" s="1" t="s">
        <v>17</v>
      </c>
      <c r="D78" s="1" t="s">
        <v>44</v>
      </c>
      <c r="E78" s="1" t="s">
        <v>12</v>
      </c>
      <c r="F78" s="1">
        <v>6</v>
      </c>
      <c r="G78" s="1">
        <v>1100</v>
      </c>
      <c r="H78" s="1">
        <v>650</v>
      </c>
      <c r="I78" s="1">
        <v>0.15</v>
      </c>
    </row>
    <row r="79" spans="1:9" ht="13.5" x14ac:dyDescent="0.25">
      <c r="A79" s="1" t="s">
        <v>104</v>
      </c>
      <c r="B79" s="3">
        <v>45763</v>
      </c>
      <c r="C79" s="1" t="s">
        <v>10</v>
      </c>
      <c r="D79" s="1" t="s">
        <v>14</v>
      </c>
      <c r="E79" s="1" t="s">
        <v>15</v>
      </c>
      <c r="F79" s="1">
        <v>6</v>
      </c>
      <c r="G79" s="1">
        <v>2100</v>
      </c>
      <c r="H79" s="1">
        <v>1350</v>
      </c>
      <c r="I79" s="1">
        <v>0</v>
      </c>
    </row>
    <row r="80" spans="1:9" ht="13.5" x14ac:dyDescent="0.25">
      <c r="A80" s="1" t="s">
        <v>105</v>
      </c>
      <c r="B80" s="3">
        <v>45906</v>
      </c>
      <c r="C80" s="1" t="s">
        <v>17</v>
      </c>
      <c r="D80" s="1" t="s">
        <v>14</v>
      </c>
      <c r="E80" s="1" t="s">
        <v>15</v>
      </c>
      <c r="F80" s="1">
        <v>1</v>
      </c>
      <c r="G80" s="1">
        <v>2100</v>
      </c>
      <c r="H80" s="1">
        <v>1350</v>
      </c>
      <c r="I80" s="1">
        <v>0</v>
      </c>
    </row>
    <row r="81" spans="1:9" ht="13.5" x14ac:dyDescent="0.25">
      <c r="A81" s="1" t="s">
        <v>106</v>
      </c>
      <c r="B81" s="3">
        <v>45772</v>
      </c>
      <c r="C81" s="1" t="s">
        <v>10</v>
      </c>
      <c r="D81" s="1" t="s">
        <v>44</v>
      </c>
      <c r="E81" s="1" t="s">
        <v>12</v>
      </c>
      <c r="F81" s="1">
        <v>6</v>
      </c>
      <c r="G81" s="1">
        <v>1100</v>
      </c>
      <c r="H81" s="1">
        <v>650</v>
      </c>
      <c r="I81" s="1">
        <v>0</v>
      </c>
    </row>
    <row r="82" spans="1:9" ht="13.5" x14ac:dyDescent="0.25">
      <c r="A82" s="1" t="s">
        <v>107</v>
      </c>
      <c r="B82" s="3">
        <v>45795</v>
      </c>
      <c r="C82" s="1" t="s">
        <v>21</v>
      </c>
      <c r="D82" s="1" t="s">
        <v>25</v>
      </c>
      <c r="E82" s="1" t="s">
        <v>19</v>
      </c>
      <c r="F82" s="1">
        <v>3</v>
      </c>
      <c r="G82" s="1">
        <v>3400</v>
      </c>
      <c r="H82" s="1">
        <v>2300</v>
      </c>
      <c r="I82" s="1">
        <v>0</v>
      </c>
    </row>
    <row r="83" spans="1:9" ht="13.5" x14ac:dyDescent="0.25">
      <c r="A83" s="1" t="s">
        <v>108</v>
      </c>
      <c r="B83" s="3">
        <v>45723</v>
      </c>
      <c r="C83" s="1" t="s">
        <v>21</v>
      </c>
      <c r="D83" s="1" t="s">
        <v>22</v>
      </c>
      <c r="E83" s="1" t="s">
        <v>19</v>
      </c>
      <c r="F83" s="1">
        <v>2</v>
      </c>
      <c r="G83" s="1">
        <v>650</v>
      </c>
      <c r="H83" s="1">
        <v>340</v>
      </c>
      <c r="I83" s="1">
        <v>0</v>
      </c>
    </row>
    <row r="84" spans="1:9" ht="13.5" x14ac:dyDescent="0.25">
      <c r="A84" s="1" t="s">
        <v>109</v>
      </c>
      <c r="B84" s="3">
        <v>45956</v>
      </c>
      <c r="C84" s="1" t="s">
        <v>10</v>
      </c>
      <c r="D84" s="1" t="s">
        <v>54</v>
      </c>
      <c r="E84" s="1" t="s">
        <v>15</v>
      </c>
      <c r="F84" s="1">
        <v>4</v>
      </c>
      <c r="G84" s="1">
        <v>3900</v>
      </c>
      <c r="H84" s="1">
        <v>2700</v>
      </c>
      <c r="I84" s="1">
        <v>0</v>
      </c>
    </row>
    <row r="85" spans="1:9" ht="13.5" x14ac:dyDescent="0.25">
      <c r="A85" s="1" t="s">
        <v>110</v>
      </c>
      <c r="B85" s="3">
        <v>45695</v>
      </c>
      <c r="C85" s="1" t="s">
        <v>17</v>
      </c>
      <c r="D85" s="1" t="s">
        <v>25</v>
      </c>
      <c r="E85" s="1" t="s">
        <v>19</v>
      </c>
      <c r="F85" s="1">
        <v>1</v>
      </c>
      <c r="G85" s="1">
        <v>3400</v>
      </c>
      <c r="H85" s="1">
        <v>2300</v>
      </c>
      <c r="I85" s="1">
        <v>0</v>
      </c>
    </row>
    <row r="86" spans="1:9" ht="13.5" x14ac:dyDescent="0.25">
      <c r="A86" s="1" t="s">
        <v>111</v>
      </c>
      <c r="B86" s="3">
        <v>45704</v>
      </c>
      <c r="C86" s="1" t="s">
        <v>10</v>
      </c>
      <c r="D86" s="1" t="s">
        <v>22</v>
      </c>
      <c r="E86" s="1" t="s">
        <v>19</v>
      </c>
      <c r="F86" s="1">
        <v>3</v>
      </c>
      <c r="G86" s="1">
        <v>650</v>
      </c>
      <c r="H86" s="1">
        <v>340</v>
      </c>
      <c r="I86" s="1">
        <v>0</v>
      </c>
    </row>
    <row r="87" spans="1:9" ht="13.5" x14ac:dyDescent="0.25">
      <c r="A87" s="1" t="s">
        <v>112</v>
      </c>
      <c r="B87" s="3">
        <v>45696</v>
      </c>
      <c r="C87" s="1" t="s">
        <v>10</v>
      </c>
      <c r="D87" s="1" t="s">
        <v>28</v>
      </c>
      <c r="E87" s="1" t="s">
        <v>15</v>
      </c>
      <c r="F87" s="1">
        <v>3</v>
      </c>
      <c r="G87" s="1">
        <v>2800</v>
      </c>
      <c r="H87" s="1">
        <v>1900</v>
      </c>
      <c r="I87" s="1">
        <v>0</v>
      </c>
    </row>
    <row r="88" spans="1:9" ht="13.5" x14ac:dyDescent="0.25">
      <c r="A88" s="1" t="s">
        <v>113</v>
      </c>
      <c r="B88" s="3">
        <v>45692</v>
      </c>
      <c r="C88" s="1" t="s">
        <v>10</v>
      </c>
      <c r="D88" s="1" t="s">
        <v>22</v>
      </c>
      <c r="E88" s="1" t="s">
        <v>19</v>
      </c>
      <c r="F88" s="1">
        <v>4</v>
      </c>
      <c r="G88" s="1">
        <v>650</v>
      </c>
      <c r="H88" s="1">
        <v>340</v>
      </c>
      <c r="I88" s="1">
        <v>0</v>
      </c>
    </row>
    <row r="89" spans="1:9" ht="13.5" x14ac:dyDescent="0.25">
      <c r="A89" s="1" t="s">
        <v>114</v>
      </c>
      <c r="B89" s="3">
        <v>45766</v>
      </c>
      <c r="C89" s="1" t="s">
        <v>10</v>
      </c>
      <c r="D89" s="1" t="s">
        <v>44</v>
      </c>
      <c r="E89" s="1" t="s">
        <v>12</v>
      </c>
      <c r="F89" s="1">
        <v>2</v>
      </c>
      <c r="G89" s="1">
        <v>1100</v>
      </c>
      <c r="H89" s="1">
        <v>650</v>
      </c>
      <c r="I89" s="1">
        <v>0</v>
      </c>
    </row>
    <row r="90" spans="1:9" ht="13.5" x14ac:dyDescent="0.25">
      <c r="A90" s="1" t="s">
        <v>115</v>
      </c>
      <c r="B90" s="3">
        <v>45836</v>
      </c>
      <c r="C90" s="1" t="s">
        <v>17</v>
      </c>
      <c r="D90" s="1" t="s">
        <v>25</v>
      </c>
      <c r="E90" s="1" t="s">
        <v>19</v>
      </c>
      <c r="F90" s="1">
        <v>4</v>
      </c>
      <c r="G90" s="1">
        <v>3400</v>
      </c>
      <c r="H90" s="1">
        <v>2300</v>
      </c>
      <c r="I90" s="1">
        <v>0.05</v>
      </c>
    </row>
    <row r="91" spans="1:9" ht="13.5" x14ac:dyDescent="0.25">
      <c r="A91" s="1" t="s">
        <v>116</v>
      </c>
      <c r="B91" s="3">
        <v>45886</v>
      </c>
      <c r="C91" s="1" t="s">
        <v>17</v>
      </c>
      <c r="D91" s="1" t="s">
        <v>54</v>
      </c>
      <c r="E91" s="1" t="s">
        <v>15</v>
      </c>
      <c r="F91" s="1">
        <v>3</v>
      </c>
      <c r="G91" s="1">
        <v>3900</v>
      </c>
      <c r="H91" s="1">
        <v>2700</v>
      </c>
      <c r="I91" s="1">
        <v>0.05</v>
      </c>
    </row>
    <row r="92" spans="1:9" ht="13.5" x14ac:dyDescent="0.25">
      <c r="A92" s="1" t="s">
        <v>117</v>
      </c>
      <c r="B92" s="3">
        <v>45733</v>
      </c>
      <c r="C92" s="1" t="s">
        <v>21</v>
      </c>
      <c r="D92" s="1" t="s">
        <v>14</v>
      </c>
      <c r="E92" s="1" t="s">
        <v>15</v>
      </c>
      <c r="F92" s="1">
        <v>1</v>
      </c>
      <c r="G92" s="1">
        <v>2100</v>
      </c>
      <c r="H92" s="1">
        <v>1350</v>
      </c>
      <c r="I92" s="1">
        <v>0.05</v>
      </c>
    </row>
    <row r="93" spans="1:9" ht="13.5" x14ac:dyDescent="0.25">
      <c r="A93" s="1" t="s">
        <v>118</v>
      </c>
      <c r="B93" s="3">
        <v>45806</v>
      </c>
      <c r="C93" s="1" t="s">
        <v>17</v>
      </c>
      <c r="D93" s="1" t="s">
        <v>22</v>
      </c>
      <c r="E93" s="1" t="s">
        <v>19</v>
      </c>
      <c r="F93" s="1">
        <v>4</v>
      </c>
      <c r="G93" s="1">
        <v>650</v>
      </c>
      <c r="H93" s="1">
        <v>340</v>
      </c>
      <c r="I93" s="1">
        <v>0</v>
      </c>
    </row>
    <row r="94" spans="1:9" ht="13.5" x14ac:dyDescent="0.25">
      <c r="A94" s="1" t="s">
        <v>119</v>
      </c>
      <c r="B94" s="3">
        <v>45821</v>
      </c>
      <c r="C94" s="1" t="s">
        <v>10</v>
      </c>
      <c r="D94" s="1" t="s">
        <v>63</v>
      </c>
      <c r="E94" s="1" t="s">
        <v>12</v>
      </c>
      <c r="F94" s="1">
        <v>3</v>
      </c>
      <c r="G94" s="1">
        <v>520</v>
      </c>
      <c r="H94" s="1">
        <v>290</v>
      </c>
      <c r="I94" s="1">
        <v>0</v>
      </c>
    </row>
    <row r="95" spans="1:9" ht="13.5" x14ac:dyDescent="0.25">
      <c r="A95" s="1" t="s">
        <v>120</v>
      </c>
      <c r="B95" s="3">
        <v>45934</v>
      </c>
      <c r="C95" s="1" t="s">
        <v>10</v>
      </c>
      <c r="D95" s="1" t="s">
        <v>25</v>
      </c>
      <c r="E95" s="1" t="s">
        <v>19</v>
      </c>
      <c r="F95" s="1">
        <v>3</v>
      </c>
      <c r="G95" s="1">
        <v>3400</v>
      </c>
      <c r="H95" s="1">
        <v>2300</v>
      </c>
      <c r="I95" s="1">
        <v>0</v>
      </c>
    </row>
    <row r="96" spans="1:9" ht="13.5" x14ac:dyDescent="0.25">
      <c r="A96" s="1" t="s">
        <v>121</v>
      </c>
      <c r="B96" s="3">
        <v>45767</v>
      </c>
      <c r="C96" s="1" t="s">
        <v>21</v>
      </c>
      <c r="D96" s="1" t="s">
        <v>54</v>
      </c>
      <c r="E96" s="1" t="s">
        <v>15</v>
      </c>
      <c r="F96" s="1">
        <v>5</v>
      </c>
      <c r="G96" s="1">
        <v>3900</v>
      </c>
      <c r="H96" s="1">
        <v>2700</v>
      </c>
      <c r="I96" s="1">
        <v>0.15</v>
      </c>
    </row>
    <row r="97" spans="1:9" ht="13.5" x14ac:dyDescent="0.25">
      <c r="A97" s="1" t="s">
        <v>122</v>
      </c>
      <c r="B97" s="3">
        <v>45894</v>
      </c>
      <c r="C97" s="1" t="s">
        <v>27</v>
      </c>
      <c r="D97" s="1" t="s">
        <v>44</v>
      </c>
      <c r="E97" s="1" t="s">
        <v>12</v>
      </c>
      <c r="F97" s="1">
        <v>6</v>
      </c>
      <c r="G97" s="1">
        <v>1100</v>
      </c>
      <c r="H97" s="1">
        <v>650</v>
      </c>
      <c r="I97" s="1">
        <v>0.15</v>
      </c>
    </row>
    <row r="98" spans="1:9" ht="13.5" x14ac:dyDescent="0.25">
      <c r="A98" s="1" t="s">
        <v>123</v>
      </c>
      <c r="B98" s="3">
        <v>45693</v>
      </c>
      <c r="C98" s="1" t="s">
        <v>17</v>
      </c>
      <c r="D98" s="1" t="s">
        <v>11</v>
      </c>
      <c r="E98" s="1" t="s">
        <v>12</v>
      </c>
      <c r="F98" s="1">
        <v>5</v>
      </c>
      <c r="G98" s="1">
        <v>1850</v>
      </c>
      <c r="H98" s="1">
        <v>1200</v>
      </c>
      <c r="I98" s="1">
        <v>0.05</v>
      </c>
    </row>
    <row r="99" spans="1:9" ht="13.5" x14ac:dyDescent="0.25">
      <c r="A99" s="1" t="s">
        <v>124</v>
      </c>
      <c r="B99" s="3">
        <v>45708</v>
      </c>
      <c r="C99" s="1" t="s">
        <v>17</v>
      </c>
      <c r="D99" s="1" t="s">
        <v>28</v>
      </c>
      <c r="E99" s="1" t="s">
        <v>15</v>
      </c>
      <c r="F99" s="1">
        <v>2</v>
      </c>
      <c r="G99" s="1">
        <v>2800</v>
      </c>
      <c r="H99" s="1">
        <v>1900</v>
      </c>
      <c r="I99" s="1">
        <v>0.05</v>
      </c>
    </row>
    <row r="100" spans="1:9" ht="13.5" x14ac:dyDescent="0.25">
      <c r="A100" s="1" t="s">
        <v>125</v>
      </c>
      <c r="B100" s="3">
        <v>45939</v>
      </c>
      <c r="C100" s="1" t="s">
        <v>21</v>
      </c>
      <c r="D100" s="1" t="s">
        <v>22</v>
      </c>
      <c r="E100" s="1" t="s">
        <v>19</v>
      </c>
      <c r="F100" s="1">
        <v>1</v>
      </c>
      <c r="G100" s="1">
        <v>650</v>
      </c>
      <c r="H100" s="1">
        <v>340</v>
      </c>
      <c r="I100" s="1">
        <v>0.05</v>
      </c>
    </row>
    <row r="101" spans="1:9" ht="13.5" x14ac:dyDescent="0.25">
      <c r="A101" s="1" t="s">
        <v>126</v>
      </c>
      <c r="B101" s="3">
        <v>45757</v>
      </c>
      <c r="C101" s="1" t="s">
        <v>17</v>
      </c>
      <c r="D101" s="1" t="s">
        <v>28</v>
      </c>
      <c r="E101" s="1" t="s">
        <v>15</v>
      </c>
      <c r="F101" s="1">
        <v>3</v>
      </c>
      <c r="G101" s="1">
        <v>2800</v>
      </c>
      <c r="H101" s="1">
        <v>1900</v>
      </c>
      <c r="I101" s="1">
        <v>0.05</v>
      </c>
    </row>
    <row r="102" spans="1:9" ht="13.5" x14ac:dyDescent="0.25">
      <c r="A102" s="1" t="s">
        <v>127</v>
      </c>
      <c r="B102" s="3">
        <v>46022</v>
      </c>
      <c r="C102" s="1" t="s">
        <v>17</v>
      </c>
      <c r="D102" s="1" t="s">
        <v>28</v>
      </c>
      <c r="E102" s="1" t="s">
        <v>15</v>
      </c>
      <c r="F102" s="1">
        <v>4</v>
      </c>
      <c r="G102" s="1">
        <v>2800</v>
      </c>
      <c r="H102" s="1">
        <v>1900</v>
      </c>
      <c r="I102" s="1">
        <v>0</v>
      </c>
    </row>
    <row r="103" spans="1:9" ht="13.5" x14ac:dyDescent="0.25">
      <c r="A103" s="1" t="s">
        <v>128</v>
      </c>
      <c r="B103" s="3">
        <v>45861</v>
      </c>
      <c r="C103" s="1" t="s">
        <v>10</v>
      </c>
      <c r="D103" s="1" t="s">
        <v>14</v>
      </c>
      <c r="E103" s="1" t="s">
        <v>15</v>
      </c>
      <c r="F103" s="1">
        <v>6</v>
      </c>
      <c r="G103" s="1">
        <v>2100</v>
      </c>
      <c r="H103" s="1">
        <v>1350</v>
      </c>
      <c r="I103" s="1">
        <v>0</v>
      </c>
    </row>
    <row r="104" spans="1:9" ht="13.5" x14ac:dyDescent="0.25">
      <c r="A104" s="1" t="s">
        <v>129</v>
      </c>
      <c r="B104" s="3">
        <v>45834</v>
      </c>
      <c r="C104" s="1" t="s">
        <v>10</v>
      </c>
      <c r="D104" s="1" t="s">
        <v>28</v>
      </c>
      <c r="E104" s="1" t="s">
        <v>15</v>
      </c>
      <c r="F104" s="1">
        <v>6</v>
      </c>
      <c r="G104" s="1">
        <v>2800</v>
      </c>
      <c r="H104" s="1">
        <v>1900</v>
      </c>
      <c r="I104" s="1">
        <v>0.1</v>
      </c>
    </row>
    <row r="105" spans="1:9" ht="13.5" x14ac:dyDescent="0.25">
      <c r="A105" s="1" t="s">
        <v>130</v>
      </c>
      <c r="B105" s="3">
        <v>45675</v>
      </c>
      <c r="C105" s="1" t="s">
        <v>27</v>
      </c>
      <c r="D105" s="1" t="s">
        <v>22</v>
      </c>
      <c r="E105" s="1" t="s">
        <v>19</v>
      </c>
      <c r="G105" s="1">
        <v>650</v>
      </c>
      <c r="H105" s="1">
        <v>340</v>
      </c>
      <c r="I105" s="1">
        <v>0.05</v>
      </c>
    </row>
    <row r="106" spans="1:9" ht="13.5" x14ac:dyDescent="0.25">
      <c r="A106" s="1" t="s">
        <v>131</v>
      </c>
      <c r="B106" s="3">
        <v>45898</v>
      </c>
      <c r="C106" s="1" t="s">
        <v>10</v>
      </c>
      <c r="D106" s="1" t="s">
        <v>18</v>
      </c>
      <c r="E106" s="1" t="s">
        <v>19</v>
      </c>
      <c r="F106" s="1">
        <v>5</v>
      </c>
      <c r="G106" s="1">
        <v>12500</v>
      </c>
      <c r="H106" s="1">
        <v>9400</v>
      </c>
      <c r="I106" s="1">
        <v>0.05</v>
      </c>
    </row>
    <row r="107" spans="1:9" ht="13.5" x14ac:dyDescent="0.25">
      <c r="A107" s="1" t="s">
        <v>132</v>
      </c>
      <c r="B107" s="3">
        <v>45800</v>
      </c>
      <c r="C107" s="1" t="s">
        <v>21</v>
      </c>
      <c r="D107" s="1" t="s">
        <v>11</v>
      </c>
      <c r="E107" s="1" t="s">
        <v>12</v>
      </c>
      <c r="F107" s="1">
        <v>6</v>
      </c>
      <c r="G107" s="1">
        <v>1850</v>
      </c>
      <c r="H107" s="1">
        <v>1200</v>
      </c>
      <c r="I107" s="1">
        <v>0.1</v>
      </c>
    </row>
    <row r="108" spans="1:9" ht="13.5" x14ac:dyDescent="0.25">
      <c r="A108" s="1" t="s">
        <v>133</v>
      </c>
      <c r="B108" s="3">
        <v>45729</v>
      </c>
      <c r="C108" s="1" t="s">
        <v>17</v>
      </c>
      <c r="D108" s="1" t="s">
        <v>63</v>
      </c>
      <c r="E108" s="1" t="s">
        <v>12</v>
      </c>
      <c r="F108" s="1">
        <v>1</v>
      </c>
      <c r="G108" s="1">
        <v>520</v>
      </c>
      <c r="H108" s="1">
        <v>290</v>
      </c>
      <c r="I108" s="1">
        <v>0</v>
      </c>
    </row>
    <row r="109" spans="1:9" ht="13.5" x14ac:dyDescent="0.25">
      <c r="A109" s="1" t="s">
        <v>134</v>
      </c>
      <c r="B109" s="3">
        <v>45916</v>
      </c>
      <c r="C109" s="1" t="s">
        <v>27</v>
      </c>
      <c r="D109" s="1" t="s">
        <v>63</v>
      </c>
      <c r="E109" s="1" t="s">
        <v>12</v>
      </c>
      <c r="F109" s="1">
        <v>1</v>
      </c>
      <c r="G109" s="1">
        <v>520</v>
      </c>
      <c r="H109" s="1">
        <v>290</v>
      </c>
      <c r="I109" s="1">
        <v>0</v>
      </c>
    </row>
    <row r="110" spans="1:9" ht="13.5" x14ac:dyDescent="0.25">
      <c r="A110" s="1" t="s">
        <v>135</v>
      </c>
      <c r="B110" s="3">
        <v>45815</v>
      </c>
      <c r="C110" s="1" t="s">
        <v>10</v>
      </c>
      <c r="D110" s="1" t="s">
        <v>22</v>
      </c>
      <c r="E110" s="1" t="s">
        <v>19</v>
      </c>
      <c r="F110" s="1">
        <v>6</v>
      </c>
      <c r="G110" s="1">
        <v>650</v>
      </c>
      <c r="H110" s="1">
        <v>340</v>
      </c>
      <c r="I110" s="1">
        <v>0</v>
      </c>
    </row>
    <row r="111" spans="1:9" ht="13.5" x14ac:dyDescent="0.25">
      <c r="A111" s="1" t="s">
        <v>136</v>
      </c>
      <c r="B111" s="3">
        <v>45674</v>
      </c>
      <c r="C111" s="1" t="s">
        <v>17</v>
      </c>
      <c r="D111" s="1" t="s">
        <v>44</v>
      </c>
      <c r="E111" s="1" t="s">
        <v>12</v>
      </c>
      <c r="F111" s="1">
        <v>4</v>
      </c>
      <c r="G111" s="1">
        <v>1100</v>
      </c>
      <c r="H111" s="1">
        <v>650</v>
      </c>
      <c r="I111" s="1">
        <v>0</v>
      </c>
    </row>
    <row r="112" spans="1:9" ht="13.5" x14ac:dyDescent="0.25">
      <c r="A112" s="1" t="s">
        <v>137</v>
      </c>
      <c r="B112" s="3">
        <v>45823</v>
      </c>
      <c r="C112" s="1" t="s">
        <v>10</v>
      </c>
      <c r="D112" s="1" t="s">
        <v>14</v>
      </c>
      <c r="E112" s="1" t="s">
        <v>15</v>
      </c>
      <c r="F112" s="1">
        <v>2</v>
      </c>
      <c r="G112" s="1">
        <v>2100</v>
      </c>
      <c r="H112" s="1">
        <v>1350</v>
      </c>
      <c r="I112" s="1">
        <v>0</v>
      </c>
    </row>
    <row r="113" spans="1:9" ht="13.5" x14ac:dyDescent="0.25">
      <c r="A113" s="1" t="s">
        <v>138</v>
      </c>
      <c r="B113" s="3">
        <v>45670</v>
      </c>
      <c r="C113" s="1" t="s">
        <v>10</v>
      </c>
      <c r="D113" s="1" t="s">
        <v>28</v>
      </c>
      <c r="E113" s="1" t="s">
        <v>15</v>
      </c>
      <c r="F113" s="1">
        <v>5</v>
      </c>
      <c r="G113" s="1">
        <v>2800</v>
      </c>
      <c r="H113" s="1">
        <v>1900</v>
      </c>
      <c r="I113" s="1">
        <v>0.05</v>
      </c>
    </row>
    <row r="114" spans="1:9" ht="13.5" x14ac:dyDescent="0.25">
      <c r="A114" s="1" t="s">
        <v>139</v>
      </c>
      <c r="B114" s="3">
        <v>45701</v>
      </c>
      <c r="C114" s="1" t="s">
        <v>27</v>
      </c>
      <c r="D114" s="1" t="s">
        <v>18</v>
      </c>
      <c r="E114" s="1" t="s">
        <v>19</v>
      </c>
      <c r="F114" s="1">
        <v>4</v>
      </c>
      <c r="G114" s="1">
        <v>12500</v>
      </c>
      <c r="H114" s="1">
        <v>9400</v>
      </c>
      <c r="I114" s="1">
        <v>0</v>
      </c>
    </row>
    <row r="115" spans="1:9" ht="13.5" x14ac:dyDescent="0.25">
      <c r="A115" s="1" t="s">
        <v>140</v>
      </c>
      <c r="B115" s="3">
        <v>45930</v>
      </c>
      <c r="C115" s="1" t="s">
        <v>27</v>
      </c>
      <c r="D115" s="1" t="s">
        <v>18</v>
      </c>
      <c r="E115" s="1" t="s">
        <v>19</v>
      </c>
      <c r="F115" s="1">
        <v>6</v>
      </c>
      <c r="G115" s="1">
        <v>12500</v>
      </c>
      <c r="H115" s="1">
        <v>9400</v>
      </c>
      <c r="I115" s="1">
        <v>0.15</v>
      </c>
    </row>
    <row r="116" spans="1:9" ht="13.5" x14ac:dyDescent="0.25">
      <c r="A116" s="1" t="s">
        <v>141</v>
      </c>
      <c r="B116" s="3">
        <v>45738</v>
      </c>
      <c r="C116" s="1" t="s">
        <v>17</v>
      </c>
      <c r="D116" s="1" t="s">
        <v>44</v>
      </c>
      <c r="E116" s="1" t="s">
        <v>12</v>
      </c>
      <c r="F116" s="1">
        <v>4</v>
      </c>
      <c r="G116" s="1">
        <v>1100</v>
      </c>
      <c r="H116" s="1">
        <v>650</v>
      </c>
      <c r="I116" s="1">
        <v>0</v>
      </c>
    </row>
    <row r="117" spans="1:9" ht="13.5" x14ac:dyDescent="0.25">
      <c r="A117" s="1" t="s">
        <v>142</v>
      </c>
      <c r="B117" s="3">
        <v>45981</v>
      </c>
      <c r="C117" s="1" t="s">
        <v>10</v>
      </c>
      <c r="D117" s="1" t="s">
        <v>44</v>
      </c>
      <c r="E117" s="1" t="s">
        <v>12</v>
      </c>
      <c r="F117" s="1">
        <v>6</v>
      </c>
      <c r="G117" s="1">
        <v>1100</v>
      </c>
      <c r="H117" s="1">
        <v>650</v>
      </c>
      <c r="I117" s="1">
        <v>0</v>
      </c>
    </row>
    <row r="118" spans="1:9" ht="13.5" x14ac:dyDescent="0.25">
      <c r="A118" s="1" t="s">
        <v>143</v>
      </c>
      <c r="B118" s="3">
        <v>46000</v>
      </c>
      <c r="C118" s="1" t="s">
        <v>10</v>
      </c>
      <c r="D118" s="1" t="s">
        <v>63</v>
      </c>
      <c r="E118" s="1" t="s">
        <v>12</v>
      </c>
      <c r="F118" s="1">
        <v>2</v>
      </c>
      <c r="G118" s="1">
        <v>520</v>
      </c>
      <c r="H118" s="1">
        <v>290</v>
      </c>
      <c r="I118" s="1">
        <v>0.15</v>
      </c>
    </row>
    <row r="119" spans="1:9" ht="13.5" x14ac:dyDescent="0.25">
      <c r="A119" s="1" t="s">
        <v>144</v>
      </c>
      <c r="B119" s="3">
        <v>45712</v>
      </c>
      <c r="C119" s="1" t="s">
        <v>27</v>
      </c>
      <c r="D119" s="1" t="s">
        <v>22</v>
      </c>
      <c r="E119" s="1" t="s">
        <v>19</v>
      </c>
      <c r="F119" s="1">
        <v>4</v>
      </c>
      <c r="G119" s="1">
        <v>650</v>
      </c>
      <c r="H119" s="1">
        <v>340</v>
      </c>
      <c r="I119" s="1">
        <v>0</v>
      </c>
    </row>
    <row r="120" spans="1:9" ht="13.5" x14ac:dyDescent="0.25">
      <c r="A120" s="1" t="s">
        <v>145</v>
      </c>
      <c r="B120" s="3">
        <v>45682</v>
      </c>
      <c r="C120" s="1" t="s">
        <v>27</v>
      </c>
      <c r="D120" s="1" t="s">
        <v>22</v>
      </c>
      <c r="E120" s="1" t="s">
        <v>19</v>
      </c>
      <c r="F120" s="1">
        <v>2</v>
      </c>
      <c r="G120" s="1">
        <v>650</v>
      </c>
      <c r="H120" s="1">
        <v>340</v>
      </c>
      <c r="I120" s="1">
        <v>0</v>
      </c>
    </row>
    <row r="121" spans="1:9" ht="13.5" x14ac:dyDescent="0.25">
      <c r="A121" s="1" t="s">
        <v>146</v>
      </c>
      <c r="B121" s="3">
        <v>45666</v>
      </c>
      <c r="C121" s="1" t="s">
        <v>10</v>
      </c>
      <c r="D121" s="1" t="s">
        <v>44</v>
      </c>
      <c r="E121" s="1" t="s">
        <v>12</v>
      </c>
      <c r="F121" s="1">
        <v>3</v>
      </c>
      <c r="G121" s="1">
        <v>1100</v>
      </c>
      <c r="H121" s="1">
        <v>650</v>
      </c>
      <c r="I121" s="1">
        <v>0</v>
      </c>
    </row>
    <row r="122" spans="1:9" ht="13.5" x14ac:dyDescent="0.25">
      <c r="A122" s="1" t="s">
        <v>147</v>
      </c>
      <c r="B122" s="3">
        <v>45793</v>
      </c>
      <c r="C122" s="1" t="s">
        <v>21</v>
      </c>
      <c r="D122" s="1" t="s">
        <v>44</v>
      </c>
      <c r="E122" s="1" t="s">
        <v>12</v>
      </c>
      <c r="F122" s="1">
        <v>3</v>
      </c>
      <c r="G122" s="1">
        <v>1100</v>
      </c>
      <c r="H122" s="1">
        <v>650</v>
      </c>
      <c r="I122" s="1">
        <v>0</v>
      </c>
    </row>
    <row r="123" spans="1:9" ht="13.5" x14ac:dyDescent="0.25">
      <c r="A123" s="1" t="s">
        <v>148</v>
      </c>
      <c r="B123" s="3">
        <v>45837</v>
      </c>
      <c r="C123" s="1" t="s">
        <v>10</v>
      </c>
      <c r="D123" s="1" t="s">
        <v>22</v>
      </c>
      <c r="E123" s="1" t="s">
        <v>19</v>
      </c>
      <c r="F123" s="1">
        <v>4</v>
      </c>
      <c r="G123" s="1">
        <v>650</v>
      </c>
      <c r="H123" s="1">
        <v>340</v>
      </c>
      <c r="I123" s="1">
        <v>0</v>
      </c>
    </row>
    <row r="124" spans="1:9" ht="13.5" x14ac:dyDescent="0.25">
      <c r="A124" s="1" t="s">
        <v>149</v>
      </c>
      <c r="B124" s="3">
        <v>45886</v>
      </c>
      <c r="C124" s="1" t="s">
        <v>10</v>
      </c>
      <c r="D124" s="1" t="s">
        <v>63</v>
      </c>
      <c r="E124" s="1" t="s">
        <v>12</v>
      </c>
      <c r="F124" s="1">
        <v>3</v>
      </c>
      <c r="G124" s="1">
        <v>520</v>
      </c>
      <c r="H124" s="1">
        <v>290</v>
      </c>
      <c r="I124" s="1">
        <v>0.05</v>
      </c>
    </row>
    <row r="125" spans="1:9" ht="13.5" x14ac:dyDescent="0.25">
      <c r="A125" s="1" t="s">
        <v>150</v>
      </c>
      <c r="B125" s="3">
        <v>45692</v>
      </c>
      <c r="C125" s="1" t="s">
        <v>10</v>
      </c>
      <c r="D125" s="1" t="s">
        <v>18</v>
      </c>
      <c r="E125" s="1" t="s">
        <v>19</v>
      </c>
      <c r="F125" s="1">
        <v>4</v>
      </c>
      <c r="G125" s="1">
        <v>12500</v>
      </c>
      <c r="H125" s="1">
        <v>9400</v>
      </c>
      <c r="I125" s="1">
        <v>0.15</v>
      </c>
    </row>
    <row r="126" spans="1:9" ht="13.5" x14ac:dyDescent="0.25">
      <c r="A126" s="1" t="s">
        <v>151</v>
      </c>
      <c r="B126" s="3">
        <v>45924</v>
      </c>
      <c r="C126" s="1" t="s">
        <v>17</v>
      </c>
      <c r="D126" s="1" t="s">
        <v>44</v>
      </c>
      <c r="E126" s="1" t="s">
        <v>12</v>
      </c>
      <c r="F126" s="1">
        <v>2</v>
      </c>
      <c r="G126" s="1">
        <v>1100</v>
      </c>
      <c r="H126" s="1">
        <v>650</v>
      </c>
      <c r="I126" s="1">
        <v>0</v>
      </c>
    </row>
    <row r="127" spans="1:9" ht="13.5" x14ac:dyDescent="0.25">
      <c r="A127" s="1" t="s">
        <v>152</v>
      </c>
      <c r="B127" s="3">
        <v>45983</v>
      </c>
      <c r="C127" s="1" t="s">
        <v>21</v>
      </c>
      <c r="D127" s="1" t="s">
        <v>18</v>
      </c>
      <c r="E127" s="1" t="s">
        <v>19</v>
      </c>
      <c r="F127" s="1">
        <v>6</v>
      </c>
      <c r="G127" s="1">
        <v>12500</v>
      </c>
      <c r="H127" s="1">
        <v>9400</v>
      </c>
      <c r="I127" s="1">
        <v>0.1</v>
      </c>
    </row>
    <row r="128" spans="1:9" ht="13.5" x14ac:dyDescent="0.25">
      <c r="A128" s="1" t="s">
        <v>153</v>
      </c>
      <c r="B128" s="3">
        <v>45662</v>
      </c>
      <c r="C128" s="1" t="s">
        <v>27</v>
      </c>
      <c r="D128" s="1" t="s">
        <v>14</v>
      </c>
      <c r="E128" s="1" t="s">
        <v>15</v>
      </c>
      <c r="F128" s="1">
        <v>6</v>
      </c>
      <c r="G128" s="1">
        <v>2100</v>
      </c>
      <c r="H128" s="1">
        <v>1350</v>
      </c>
      <c r="I128" s="1">
        <v>0.1</v>
      </c>
    </row>
    <row r="129" spans="1:9" ht="13.5" x14ac:dyDescent="0.25">
      <c r="A129" s="1" t="s">
        <v>154</v>
      </c>
      <c r="B129" s="3">
        <v>45976</v>
      </c>
      <c r="C129" s="1" t="s">
        <v>27</v>
      </c>
      <c r="D129" s="1" t="s">
        <v>63</v>
      </c>
      <c r="E129" s="1" t="s">
        <v>12</v>
      </c>
      <c r="F129" s="1">
        <v>3</v>
      </c>
      <c r="G129" s="1">
        <v>520</v>
      </c>
      <c r="H129" s="1">
        <v>290</v>
      </c>
      <c r="I129" s="1">
        <v>0.1</v>
      </c>
    </row>
    <row r="130" spans="1:9" ht="13.5" x14ac:dyDescent="0.25">
      <c r="A130" s="1" t="s">
        <v>155</v>
      </c>
      <c r="B130" s="3">
        <v>45770</v>
      </c>
      <c r="C130" s="1" t="s">
        <v>17</v>
      </c>
      <c r="D130" s="1" t="s">
        <v>22</v>
      </c>
      <c r="E130" s="1" t="s">
        <v>19</v>
      </c>
      <c r="F130" s="1">
        <v>6</v>
      </c>
      <c r="G130" s="1">
        <v>650</v>
      </c>
      <c r="H130" s="1">
        <v>340</v>
      </c>
      <c r="I130" s="1">
        <v>0</v>
      </c>
    </row>
    <row r="131" spans="1:9" ht="13.5" x14ac:dyDescent="0.25">
      <c r="A131" s="1" t="s">
        <v>156</v>
      </c>
      <c r="B131" s="3">
        <v>45745</v>
      </c>
      <c r="C131" s="1" t="s">
        <v>17</v>
      </c>
      <c r="D131" s="1" t="s">
        <v>44</v>
      </c>
      <c r="E131" s="1" t="s">
        <v>12</v>
      </c>
      <c r="F131" s="1">
        <v>1</v>
      </c>
      <c r="G131" s="1">
        <v>1100</v>
      </c>
      <c r="H131" s="1">
        <v>650</v>
      </c>
      <c r="I131" s="1">
        <v>0.15</v>
      </c>
    </row>
    <row r="132" spans="1:9" ht="13.5" x14ac:dyDescent="0.25">
      <c r="A132" s="1" t="s">
        <v>157</v>
      </c>
      <c r="B132" s="3">
        <v>45734</v>
      </c>
      <c r="C132" s="1" t="s">
        <v>10</v>
      </c>
      <c r="D132" s="1" t="s">
        <v>25</v>
      </c>
      <c r="E132" s="1" t="s">
        <v>19</v>
      </c>
      <c r="F132" s="1">
        <v>6</v>
      </c>
      <c r="G132" s="1">
        <v>3400</v>
      </c>
      <c r="H132" s="1">
        <v>2300</v>
      </c>
      <c r="I132" s="1">
        <v>0.15</v>
      </c>
    </row>
    <row r="133" spans="1:9" ht="13.5" x14ac:dyDescent="0.25">
      <c r="A133" s="1" t="s">
        <v>158</v>
      </c>
      <c r="B133" s="3">
        <v>45887</v>
      </c>
      <c r="C133" s="1" t="s">
        <v>27</v>
      </c>
      <c r="D133" s="1" t="s">
        <v>28</v>
      </c>
      <c r="E133" s="1" t="s">
        <v>15</v>
      </c>
      <c r="F133" s="1">
        <v>6</v>
      </c>
      <c r="G133" s="1">
        <v>2800</v>
      </c>
      <c r="H133" s="1">
        <v>1900</v>
      </c>
      <c r="I133" s="1">
        <v>0</v>
      </c>
    </row>
    <row r="134" spans="1:9" ht="13.5" x14ac:dyDescent="0.25">
      <c r="A134" s="1" t="s">
        <v>159</v>
      </c>
      <c r="B134" s="3">
        <v>46006</v>
      </c>
      <c r="C134" s="1" t="s">
        <v>17</v>
      </c>
      <c r="D134" s="1" t="s">
        <v>14</v>
      </c>
      <c r="E134" s="1" t="s">
        <v>15</v>
      </c>
      <c r="F134" s="1">
        <v>1</v>
      </c>
      <c r="G134" s="1">
        <v>2100</v>
      </c>
      <c r="H134" s="1">
        <v>1350</v>
      </c>
      <c r="I134" s="1">
        <v>0.05</v>
      </c>
    </row>
    <row r="135" spans="1:9" ht="13.5" x14ac:dyDescent="0.25">
      <c r="A135" s="1" t="s">
        <v>160</v>
      </c>
      <c r="B135" s="3">
        <v>45987</v>
      </c>
      <c r="C135" s="1" t="s">
        <v>10</v>
      </c>
      <c r="D135" s="1" t="s">
        <v>22</v>
      </c>
      <c r="E135" s="1" t="s">
        <v>19</v>
      </c>
      <c r="F135" s="1">
        <v>6</v>
      </c>
      <c r="G135" s="1">
        <v>650</v>
      </c>
      <c r="H135" s="1">
        <v>340</v>
      </c>
      <c r="I135" s="1">
        <v>0.05</v>
      </c>
    </row>
    <row r="136" spans="1:9" ht="13.5" x14ac:dyDescent="0.25">
      <c r="A136" s="1" t="s">
        <v>161</v>
      </c>
      <c r="B136" s="3">
        <v>45964</v>
      </c>
      <c r="C136" s="1" t="s">
        <v>21</v>
      </c>
      <c r="D136" s="1" t="s">
        <v>14</v>
      </c>
      <c r="E136" s="1" t="s">
        <v>15</v>
      </c>
      <c r="F136" s="1">
        <v>4</v>
      </c>
      <c r="G136" s="1">
        <v>2100</v>
      </c>
      <c r="H136" s="1">
        <v>1350</v>
      </c>
      <c r="I136" s="1">
        <v>0</v>
      </c>
    </row>
    <row r="137" spans="1:9" ht="13.5" x14ac:dyDescent="0.25">
      <c r="A137" s="1" t="s">
        <v>162</v>
      </c>
      <c r="B137" s="3">
        <v>45875</v>
      </c>
      <c r="C137" s="1" t="s">
        <v>17</v>
      </c>
      <c r="D137" s="1" t="s">
        <v>25</v>
      </c>
      <c r="E137" s="1" t="s">
        <v>19</v>
      </c>
      <c r="F137" s="1">
        <v>6</v>
      </c>
      <c r="G137" s="1">
        <v>3400</v>
      </c>
      <c r="H137" s="1">
        <v>2300</v>
      </c>
      <c r="I137" s="1">
        <v>0.15</v>
      </c>
    </row>
    <row r="138" spans="1:9" ht="13.5" x14ac:dyDescent="0.25">
      <c r="A138" s="1" t="s">
        <v>163</v>
      </c>
      <c r="B138" s="3">
        <v>45971</v>
      </c>
      <c r="C138" s="1" t="s">
        <v>17</v>
      </c>
      <c r="D138" s="1" t="s">
        <v>44</v>
      </c>
      <c r="E138" s="1" t="s">
        <v>12</v>
      </c>
      <c r="F138" s="1">
        <v>1</v>
      </c>
      <c r="G138" s="1">
        <v>1100</v>
      </c>
      <c r="H138" s="1">
        <v>650</v>
      </c>
      <c r="I138" s="1">
        <v>0.1</v>
      </c>
    </row>
    <row r="139" spans="1:9" ht="13.5" x14ac:dyDescent="0.25">
      <c r="A139" s="1" t="s">
        <v>164</v>
      </c>
      <c r="B139" s="3">
        <v>45934</v>
      </c>
      <c r="C139" s="1" t="s">
        <v>10</v>
      </c>
      <c r="D139" s="1" t="s">
        <v>18</v>
      </c>
      <c r="E139" s="1" t="s">
        <v>19</v>
      </c>
      <c r="F139" s="1">
        <v>3</v>
      </c>
      <c r="G139" s="1">
        <v>12500</v>
      </c>
      <c r="H139" s="1">
        <v>9400</v>
      </c>
      <c r="I139" s="1">
        <v>0.05</v>
      </c>
    </row>
    <row r="140" spans="1:9" ht="13.5" x14ac:dyDescent="0.25">
      <c r="A140" s="1" t="s">
        <v>165</v>
      </c>
      <c r="B140" s="3">
        <v>45921</v>
      </c>
      <c r="C140" s="1" t="s">
        <v>10</v>
      </c>
      <c r="D140" s="1" t="s">
        <v>54</v>
      </c>
      <c r="E140" s="1" t="s">
        <v>15</v>
      </c>
      <c r="F140" s="1">
        <v>5</v>
      </c>
      <c r="G140" s="1">
        <v>3900</v>
      </c>
      <c r="H140" s="1">
        <v>2700</v>
      </c>
      <c r="I140" s="1">
        <v>0</v>
      </c>
    </row>
    <row r="141" spans="1:9" ht="13.5" x14ac:dyDescent="0.25">
      <c r="A141" s="1" t="s">
        <v>166</v>
      </c>
      <c r="B141" s="3">
        <v>45699</v>
      </c>
      <c r="C141" s="1" t="s">
        <v>21</v>
      </c>
      <c r="D141" s="1" t="s">
        <v>54</v>
      </c>
      <c r="E141" s="1" t="s">
        <v>15</v>
      </c>
      <c r="F141" s="1">
        <v>6</v>
      </c>
      <c r="G141" s="1">
        <v>3900</v>
      </c>
      <c r="H141" s="1">
        <v>2700</v>
      </c>
      <c r="I141" s="1">
        <v>0</v>
      </c>
    </row>
    <row r="142" spans="1:9" ht="13.5" x14ac:dyDescent="0.25">
      <c r="A142" s="1" t="s">
        <v>167</v>
      </c>
      <c r="B142" s="3">
        <v>45687</v>
      </c>
      <c r="C142" s="1" t="s">
        <v>27</v>
      </c>
      <c r="D142" s="1" t="s">
        <v>28</v>
      </c>
      <c r="E142" s="1" t="s">
        <v>15</v>
      </c>
      <c r="F142" s="1">
        <v>2</v>
      </c>
      <c r="G142" s="1">
        <v>2800</v>
      </c>
      <c r="H142" s="1">
        <v>1900</v>
      </c>
      <c r="I142" s="1">
        <v>0.1</v>
      </c>
    </row>
    <row r="143" spans="1:9" ht="13.5" x14ac:dyDescent="0.25">
      <c r="A143" s="1" t="s">
        <v>168</v>
      </c>
      <c r="B143" s="3">
        <v>45858</v>
      </c>
      <c r="C143" s="1" t="s">
        <v>27</v>
      </c>
      <c r="D143" s="1" t="s">
        <v>28</v>
      </c>
      <c r="E143" s="1" t="s">
        <v>15</v>
      </c>
      <c r="F143" s="1">
        <v>6</v>
      </c>
      <c r="G143" s="1">
        <v>2800</v>
      </c>
      <c r="H143" s="1">
        <v>1900</v>
      </c>
      <c r="I143" s="1">
        <v>0</v>
      </c>
    </row>
    <row r="144" spans="1:9" ht="13.5" x14ac:dyDescent="0.25">
      <c r="A144" s="1" t="s">
        <v>169</v>
      </c>
      <c r="B144" s="3">
        <v>45768</v>
      </c>
      <c r="C144" s="1" t="s">
        <v>10</v>
      </c>
      <c r="D144" s="1" t="s">
        <v>54</v>
      </c>
      <c r="E144" s="1" t="s">
        <v>15</v>
      </c>
      <c r="F144" s="1">
        <v>5</v>
      </c>
      <c r="G144" s="1">
        <v>3900</v>
      </c>
      <c r="H144" s="1">
        <v>2700</v>
      </c>
      <c r="I144" s="1">
        <v>0</v>
      </c>
    </row>
    <row r="145" spans="1:9" ht="13.5" x14ac:dyDescent="0.25">
      <c r="A145" s="1" t="s">
        <v>170</v>
      </c>
      <c r="B145" s="3">
        <v>45922</v>
      </c>
      <c r="C145" s="1" t="s">
        <v>27</v>
      </c>
      <c r="D145" s="1" t="s">
        <v>11</v>
      </c>
      <c r="E145" s="1" t="s">
        <v>12</v>
      </c>
      <c r="F145" s="1">
        <v>5</v>
      </c>
      <c r="G145" s="1">
        <v>1850</v>
      </c>
      <c r="H145" s="1">
        <v>1200</v>
      </c>
      <c r="I145" s="1">
        <v>0</v>
      </c>
    </row>
    <row r="146" spans="1:9" ht="13.5" x14ac:dyDescent="0.25">
      <c r="A146" s="1" t="s">
        <v>171</v>
      </c>
      <c r="B146" s="3">
        <v>45885</v>
      </c>
      <c r="C146" s="1" t="s">
        <v>17</v>
      </c>
      <c r="D146" s="1" t="s">
        <v>14</v>
      </c>
      <c r="E146" s="1" t="s">
        <v>15</v>
      </c>
      <c r="F146" s="1">
        <v>6</v>
      </c>
      <c r="G146" s="1">
        <v>2100</v>
      </c>
      <c r="H146" s="1">
        <v>1350</v>
      </c>
      <c r="I146" s="1">
        <v>0</v>
      </c>
    </row>
    <row r="147" spans="1:9" ht="13.5" x14ac:dyDescent="0.25">
      <c r="A147" s="1" t="s">
        <v>172</v>
      </c>
      <c r="B147" s="3">
        <v>45851</v>
      </c>
      <c r="C147" s="1" t="s">
        <v>27</v>
      </c>
      <c r="D147" s="1" t="s">
        <v>18</v>
      </c>
      <c r="E147" s="1" t="s">
        <v>19</v>
      </c>
      <c r="F147" s="1">
        <v>3</v>
      </c>
      <c r="G147" s="1">
        <v>12500</v>
      </c>
      <c r="H147" s="1">
        <v>9400</v>
      </c>
      <c r="I147" s="1">
        <v>0.1</v>
      </c>
    </row>
    <row r="148" spans="1:9" ht="13.5" x14ac:dyDescent="0.25">
      <c r="A148" s="1" t="s">
        <v>173</v>
      </c>
      <c r="B148" s="3">
        <v>46020</v>
      </c>
      <c r="C148" s="1" t="s">
        <v>17</v>
      </c>
      <c r="D148" s="1" t="s">
        <v>25</v>
      </c>
      <c r="E148" s="1" t="s">
        <v>19</v>
      </c>
      <c r="F148" s="1">
        <v>6</v>
      </c>
      <c r="G148" s="1">
        <v>3400</v>
      </c>
      <c r="H148" s="1">
        <v>2300</v>
      </c>
      <c r="I148" s="1">
        <v>0.05</v>
      </c>
    </row>
    <row r="149" spans="1:9" ht="13.5" x14ac:dyDescent="0.25">
      <c r="A149" s="1" t="s">
        <v>174</v>
      </c>
      <c r="B149" s="3">
        <v>45658</v>
      </c>
      <c r="C149" s="1" t="s">
        <v>17</v>
      </c>
      <c r="D149" s="1" t="s">
        <v>44</v>
      </c>
      <c r="E149" s="1" t="s">
        <v>12</v>
      </c>
      <c r="F149" s="1">
        <v>6</v>
      </c>
      <c r="G149" s="1">
        <v>1100</v>
      </c>
      <c r="H149" s="1">
        <v>650</v>
      </c>
    </row>
    <row r="150" spans="1:9" ht="13.5" x14ac:dyDescent="0.25">
      <c r="A150" s="1" t="s">
        <v>175</v>
      </c>
      <c r="B150" s="3">
        <v>45863</v>
      </c>
      <c r="C150" s="1" t="s">
        <v>21</v>
      </c>
      <c r="D150" s="1" t="s">
        <v>44</v>
      </c>
      <c r="E150" s="1" t="s">
        <v>12</v>
      </c>
      <c r="F150" s="1">
        <v>1</v>
      </c>
      <c r="G150" s="1">
        <v>1100</v>
      </c>
      <c r="H150" s="1">
        <v>650</v>
      </c>
      <c r="I150" s="1">
        <v>0</v>
      </c>
    </row>
    <row r="151" spans="1:9" ht="13.5" x14ac:dyDescent="0.25">
      <c r="A151" s="1" t="s">
        <v>176</v>
      </c>
      <c r="B151" s="3">
        <v>45691</v>
      </c>
      <c r="C151" s="1" t="s">
        <v>17</v>
      </c>
      <c r="D151" s="1" t="s">
        <v>14</v>
      </c>
      <c r="E151" s="1" t="s">
        <v>15</v>
      </c>
      <c r="F151" s="1">
        <v>1</v>
      </c>
      <c r="G151" s="1">
        <v>2100</v>
      </c>
      <c r="H151" s="1">
        <v>1350</v>
      </c>
      <c r="I151" s="1">
        <v>0</v>
      </c>
    </row>
    <row r="152" spans="1:9" ht="13.5" x14ac:dyDescent="0.25">
      <c r="A152" s="1" t="s">
        <v>177</v>
      </c>
      <c r="B152" s="3">
        <v>45985</v>
      </c>
      <c r="C152" s="1" t="s">
        <v>17</v>
      </c>
      <c r="D152" s="1" t="s">
        <v>28</v>
      </c>
      <c r="E152" s="1" t="s">
        <v>15</v>
      </c>
      <c r="F152" s="1">
        <v>2</v>
      </c>
      <c r="G152" s="1">
        <v>2800</v>
      </c>
      <c r="H152" s="1">
        <v>1900</v>
      </c>
      <c r="I152" s="1">
        <v>0.05</v>
      </c>
    </row>
    <row r="153" spans="1:9" ht="13.5" x14ac:dyDescent="0.25">
      <c r="A153" s="1" t="s">
        <v>178</v>
      </c>
      <c r="B153" s="3">
        <v>45886</v>
      </c>
      <c r="C153" s="1" t="s">
        <v>10</v>
      </c>
      <c r="D153" s="1" t="s">
        <v>63</v>
      </c>
      <c r="E153" s="1" t="s">
        <v>12</v>
      </c>
      <c r="F153" s="1">
        <v>5</v>
      </c>
      <c r="G153" s="1">
        <v>520</v>
      </c>
      <c r="H153" s="1">
        <v>290</v>
      </c>
      <c r="I153" s="1">
        <v>0</v>
      </c>
    </row>
    <row r="154" spans="1:9" ht="13.5" x14ac:dyDescent="0.25">
      <c r="A154" s="1" t="s">
        <v>179</v>
      </c>
      <c r="B154" s="3">
        <v>45774</v>
      </c>
      <c r="C154" s="1" t="s">
        <v>10</v>
      </c>
      <c r="D154" s="1" t="s">
        <v>14</v>
      </c>
      <c r="E154" s="1" t="s">
        <v>15</v>
      </c>
      <c r="F154" s="1">
        <v>2</v>
      </c>
      <c r="G154" s="1">
        <v>2100</v>
      </c>
      <c r="H154" s="1">
        <v>1350</v>
      </c>
      <c r="I154" s="1">
        <v>0.05</v>
      </c>
    </row>
    <row r="155" spans="1:9" ht="13.5" x14ac:dyDescent="0.25">
      <c r="A155" s="1" t="s">
        <v>180</v>
      </c>
      <c r="B155" s="3">
        <v>45910</v>
      </c>
      <c r="C155" s="1" t="s">
        <v>10</v>
      </c>
      <c r="D155" s="1" t="s">
        <v>54</v>
      </c>
      <c r="E155" s="1" t="s">
        <v>15</v>
      </c>
      <c r="F155" s="1">
        <v>4</v>
      </c>
      <c r="G155" s="1">
        <v>3900</v>
      </c>
      <c r="H155" s="1">
        <v>2700</v>
      </c>
      <c r="I155" s="1">
        <v>0</v>
      </c>
    </row>
    <row r="156" spans="1:9" ht="13.5" x14ac:dyDescent="0.25">
      <c r="A156" s="1" t="s">
        <v>181</v>
      </c>
      <c r="B156" s="3">
        <v>45735</v>
      </c>
      <c r="C156" s="1" t="s">
        <v>27</v>
      </c>
      <c r="D156" s="1" t="s">
        <v>44</v>
      </c>
      <c r="E156" s="1" t="s">
        <v>12</v>
      </c>
      <c r="F156" s="1">
        <v>6</v>
      </c>
      <c r="G156" s="1">
        <v>1100</v>
      </c>
      <c r="H156" s="1">
        <v>650</v>
      </c>
      <c r="I156" s="1">
        <v>0.1</v>
      </c>
    </row>
    <row r="157" spans="1:9" ht="13.5" x14ac:dyDescent="0.25">
      <c r="A157" s="1" t="s">
        <v>182</v>
      </c>
      <c r="B157" s="3">
        <v>45958</v>
      </c>
      <c r="C157" s="1" t="s">
        <v>27</v>
      </c>
      <c r="D157" s="1" t="s">
        <v>28</v>
      </c>
      <c r="E157" s="1" t="s">
        <v>15</v>
      </c>
      <c r="F157" s="1">
        <v>1</v>
      </c>
      <c r="G157" s="1">
        <v>2800</v>
      </c>
      <c r="H157" s="1">
        <v>1900</v>
      </c>
      <c r="I157" s="1">
        <v>0.05</v>
      </c>
    </row>
    <row r="158" spans="1:9" ht="13.5" x14ac:dyDescent="0.25">
      <c r="A158" s="1" t="s">
        <v>183</v>
      </c>
      <c r="B158" s="3">
        <v>45672</v>
      </c>
      <c r="C158" s="1" t="s">
        <v>27</v>
      </c>
      <c r="D158" s="1" t="s">
        <v>54</v>
      </c>
      <c r="E158" s="1" t="s">
        <v>15</v>
      </c>
      <c r="F158" s="1">
        <v>2</v>
      </c>
      <c r="G158" s="1">
        <v>3900</v>
      </c>
      <c r="H158" s="1">
        <v>2700</v>
      </c>
      <c r="I158" s="1">
        <v>0.15</v>
      </c>
    </row>
    <row r="159" spans="1:9" ht="13.5" x14ac:dyDescent="0.25">
      <c r="A159" s="1" t="s">
        <v>184</v>
      </c>
      <c r="B159" s="3">
        <v>45703</v>
      </c>
      <c r="C159" s="1" t="s">
        <v>10</v>
      </c>
      <c r="D159" s="1" t="s">
        <v>54</v>
      </c>
      <c r="E159" s="1" t="s">
        <v>15</v>
      </c>
      <c r="F159" s="1">
        <v>1</v>
      </c>
      <c r="G159" s="1">
        <v>3900</v>
      </c>
      <c r="H159" s="1">
        <v>2700</v>
      </c>
      <c r="I159" s="1">
        <v>0.15</v>
      </c>
    </row>
    <row r="160" spans="1:9" ht="13.5" x14ac:dyDescent="0.25">
      <c r="A160" s="1" t="s">
        <v>185</v>
      </c>
      <c r="B160" s="3">
        <v>45959</v>
      </c>
      <c r="C160" s="1" t="s">
        <v>27</v>
      </c>
      <c r="D160" s="1" t="s">
        <v>18</v>
      </c>
      <c r="E160" s="1" t="s">
        <v>19</v>
      </c>
      <c r="F160" s="1">
        <v>2</v>
      </c>
      <c r="G160" s="1">
        <v>12500</v>
      </c>
      <c r="H160" s="1">
        <v>9400</v>
      </c>
      <c r="I160" s="1">
        <v>0.05</v>
      </c>
    </row>
    <row r="161" spans="1:9" ht="13.5" x14ac:dyDescent="0.25">
      <c r="A161" s="1" t="s">
        <v>186</v>
      </c>
      <c r="B161" s="3">
        <v>45957</v>
      </c>
      <c r="C161" s="1" t="s">
        <v>17</v>
      </c>
      <c r="D161" s="1" t="s">
        <v>54</v>
      </c>
      <c r="E161" s="1" t="s">
        <v>15</v>
      </c>
      <c r="F161" s="1">
        <v>3</v>
      </c>
      <c r="G161" s="1">
        <v>3900</v>
      </c>
      <c r="H161" s="1">
        <v>2700</v>
      </c>
      <c r="I161" s="1">
        <v>0.1</v>
      </c>
    </row>
    <row r="162" spans="1:9" ht="13.5" x14ac:dyDescent="0.25">
      <c r="A162" s="1" t="s">
        <v>187</v>
      </c>
      <c r="B162" s="3">
        <v>45898</v>
      </c>
      <c r="C162" s="1" t="s">
        <v>27</v>
      </c>
      <c r="D162" s="1" t="s">
        <v>22</v>
      </c>
      <c r="E162" s="1" t="s">
        <v>19</v>
      </c>
      <c r="F162" s="1">
        <v>5</v>
      </c>
      <c r="G162" s="1">
        <v>650</v>
      </c>
      <c r="H162" s="1">
        <v>340</v>
      </c>
      <c r="I162" s="1">
        <v>0.05</v>
      </c>
    </row>
    <row r="163" spans="1:9" ht="13.5" x14ac:dyDescent="0.25">
      <c r="A163" s="1" t="s">
        <v>188</v>
      </c>
      <c r="B163" s="3">
        <v>46018</v>
      </c>
      <c r="C163" s="1" t="s">
        <v>10</v>
      </c>
      <c r="D163" s="1" t="s">
        <v>11</v>
      </c>
      <c r="E163" s="1" t="s">
        <v>12</v>
      </c>
      <c r="F163" s="1">
        <v>1</v>
      </c>
      <c r="G163" s="1">
        <v>1850</v>
      </c>
      <c r="H163" s="1">
        <v>1200</v>
      </c>
      <c r="I163" s="1">
        <v>0</v>
      </c>
    </row>
    <row r="164" spans="1:9" ht="13.5" x14ac:dyDescent="0.25">
      <c r="A164" s="1" t="s">
        <v>189</v>
      </c>
      <c r="B164" s="3">
        <v>45797</v>
      </c>
      <c r="C164" s="1" t="s">
        <v>27</v>
      </c>
      <c r="D164" s="1" t="s">
        <v>11</v>
      </c>
      <c r="E164" s="1" t="s">
        <v>12</v>
      </c>
      <c r="F164" s="1">
        <v>1</v>
      </c>
      <c r="G164" s="1">
        <v>1850</v>
      </c>
      <c r="H164" s="1">
        <v>1200</v>
      </c>
      <c r="I164" s="1">
        <v>0</v>
      </c>
    </row>
    <row r="165" spans="1:9" ht="13.5" x14ac:dyDescent="0.25">
      <c r="A165" s="1" t="s">
        <v>190</v>
      </c>
      <c r="B165" s="3">
        <v>45879</v>
      </c>
      <c r="C165" s="1" t="s">
        <v>10</v>
      </c>
      <c r="D165" s="1" t="s">
        <v>28</v>
      </c>
      <c r="E165" s="1" t="s">
        <v>15</v>
      </c>
      <c r="F165" s="1">
        <v>6</v>
      </c>
      <c r="G165" s="1">
        <v>2800</v>
      </c>
      <c r="H165" s="1">
        <v>1900</v>
      </c>
      <c r="I165" s="1">
        <v>0</v>
      </c>
    </row>
    <row r="166" spans="1:9" ht="13.5" x14ac:dyDescent="0.25">
      <c r="A166" s="1" t="s">
        <v>191</v>
      </c>
      <c r="B166" s="3">
        <v>45850</v>
      </c>
      <c r="C166" s="1" t="s">
        <v>10</v>
      </c>
      <c r="D166" s="1" t="s">
        <v>44</v>
      </c>
      <c r="E166" s="1" t="s">
        <v>12</v>
      </c>
      <c r="F166" s="1">
        <v>2</v>
      </c>
      <c r="G166" s="1">
        <v>1100</v>
      </c>
      <c r="H166" s="1">
        <v>650</v>
      </c>
      <c r="I166" s="1">
        <v>0.1</v>
      </c>
    </row>
    <row r="167" spans="1:9" ht="13.5" x14ac:dyDescent="0.25">
      <c r="A167" s="1" t="s">
        <v>192</v>
      </c>
      <c r="B167" s="3">
        <v>45852</v>
      </c>
      <c r="C167" s="1" t="s">
        <v>17</v>
      </c>
      <c r="D167" s="1" t="s">
        <v>18</v>
      </c>
      <c r="E167" s="1" t="s">
        <v>19</v>
      </c>
      <c r="F167" s="1">
        <v>5</v>
      </c>
      <c r="G167" s="1">
        <v>12500</v>
      </c>
      <c r="H167" s="1">
        <v>9400</v>
      </c>
      <c r="I167" s="1">
        <v>0.1</v>
      </c>
    </row>
    <row r="168" spans="1:9" ht="13.5" x14ac:dyDescent="0.25">
      <c r="A168" s="1" t="s">
        <v>193</v>
      </c>
      <c r="B168" s="3">
        <v>45697</v>
      </c>
      <c r="C168" s="1" t="s">
        <v>10</v>
      </c>
      <c r="D168" s="1" t="s">
        <v>54</v>
      </c>
      <c r="E168" s="1" t="s">
        <v>15</v>
      </c>
      <c r="F168" s="1">
        <v>2</v>
      </c>
      <c r="G168" s="1">
        <v>3900</v>
      </c>
      <c r="H168" s="1">
        <v>2700</v>
      </c>
      <c r="I168" s="1">
        <v>0.1</v>
      </c>
    </row>
    <row r="169" spans="1:9" ht="13.5" x14ac:dyDescent="0.25">
      <c r="A169" s="1" t="s">
        <v>194</v>
      </c>
      <c r="B169" s="3">
        <v>46016</v>
      </c>
      <c r="C169" s="1" t="s">
        <v>21</v>
      </c>
      <c r="D169" s="1" t="s">
        <v>22</v>
      </c>
      <c r="E169" s="1" t="s">
        <v>19</v>
      </c>
      <c r="F169" s="1">
        <v>6</v>
      </c>
      <c r="G169" s="1">
        <v>650</v>
      </c>
      <c r="H169" s="1">
        <v>340</v>
      </c>
      <c r="I169" s="1">
        <v>0</v>
      </c>
    </row>
    <row r="170" spans="1:9" ht="13.5" x14ac:dyDescent="0.25">
      <c r="A170" s="1" t="s">
        <v>195</v>
      </c>
      <c r="B170" s="3">
        <v>45829</v>
      </c>
      <c r="C170" s="1" t="s">
        <v>17</v>
      </c>
      <c r="D170" s="1" t="s">
        <v>54</v>
      </c>
      <c r="E170" s="1" t="s">
        <v>15</v>
      </c>
      <c r="F170" s="1">
        <v>5</v>
      </c>
      <c r="G170" s="1">
        <v>3900</v>
      </c>
      <c r="H170" s="1">
        <v>2700</v>
      </c>
      <c r="I170" s="1">
        <v>0.05</v>
      </c>
    </row>
    <row r="171" spans="1:9" ht="13.5" x14ac:dyDescent="0.25">
      <c r="A171" s="1" t="s">
        <v>196</v>
      </c>
      <c r="B171" s="3">
        <v>45838</v>
      </c>
      <c r="C171" s="1" t="s">
        <v>10</v>
      </c>
      <c r="D171" s="1" t="s">
        <v>28</v>
      </c>
      <c r="E171" s="1" t="s">
        <v>15</v>
      </c>
      <c r="F171" s="1">
        <v>6</v>
      </c>
      <c r="G171" s="1">
        <v>2800</v>
      </c>
      <c r="H171" s="1">
        <v>1900</v>
      </c>
      <c r="I171" s="1">
        <v>0.1</v>
      </c>
    </row>
    <row r="172" spans="1:9" ht="13.5" x14ac:dyDescent="0.25">
      <c r="A172" s="1" t="s">
        <v>197</v>
      </c>
      <c r="B172" s="3">
        <v>45889</v>
      </c>
      <c r="C172" s="1" t="s">
        <v>10</v>
      </c>
      <c r="D172" s="1" t="s">
        <v>22</v>
      </c>
      <c r="E172" s="1" t="s">
        <v>19</v>
      </c>
      <c r="F172" s="1">
        <v>5</v>
      </c>
      <c r="G172" s="1">
        <v>650</v>
      </c>
      <c r="H172" s="1">
        <v>340</v>
      </c>
      <c r="I172" s="1">
        <v>0.1</v>
      </c>
    </row>
    <row r="173" spans="1:9" ht="13.5" x14ac:dyDescent="0.25">
      <c r="A173" s="1" t="s">
        <v>198</v>
      </c>
      <c r="B173" s="3">
        <v>45768</v>
      </c>
      <c r="C173" s="1" t="s">
        <v>27</v>
      </c>
      <c r="D173" s="1" t="s">
        <v>14</v>
      </c>
      <c r="E173" s="1" t="s">
        <v>15</v>
      </c>
      <c r="F173" s="1">
        <v>3</v>
      </c>
      <c r="G173" s="1">
        <v>2100</v>
      </c>
      <c r="H173" s="1">
        <v>1350</v>
      </c>
      <c r="I173" s="1">
        <v>0.05</v>
      </c>
    </row>
    <row r="174" spans="1:9" ht="13.5" x14ac:dyDescent="0.25">
      <c r="A174" s="1" t="s">
        <v>199</v>
      </c>
      <c r="B174" s="3">
        <v>46021</v>
      </c>
      <c r="C174" s="1" t="s">
        <v>10</v>
      </c>
      <c r="D174" s="1" t="s">
        <v>18</v>
      </c>
      <c r="E174" s="1" t="s">
        <v>19</v>
      </c>
      <c r="F174" s="1">
        <v>4</v>
      </c>
      <c r="G174" s="1">
        <v>12500</v>
      </c>
      <c r="H174" s="1">
        <v>9400</v>
      </c>
      <c r="I174" s="1">
        <v>0</v>
      </c>
    </row>
    <row r="175" spans="1:9" ht="13.5" x14ac:dyDescent="0.25">
      <c r="A175" s="1" t="s">
        <v>200</v>
      </c>
      <c r="B175" s="3">
        <v>45867</v>
      </c>
      <c r="C175" s="1" t="s">
        <v>27</v>
      </c>
      <c r="D175" s="1" t="s">
        <v>11</v>
      </c>
      <c r="E175" s="1" t="s">
        <v>12</v>
      </c>
      <c r="F175" s="1">
        <v>6</v>
      </c>
      <c r="G175" s="1">
        <v>1850</v>
      </c>
      <c r="H175" s="1">
        <v>1200</v>
      </c>
      <c r="I175" s="1">
        <v>0.15</v>
      </c>
    </row>
    <row r="176" spans="1:9" ht="13.5" x14ac:dyDescent="0.25">
      <c r="A176" s="1" t="s">
        <v>201</v>
      </c>
      <c r="B176" s="3">
        <v>45772</v>
      </c>
      <c r="C176" s="1" t="s">
        <v>10</v>
      </c>
      <c r="D176" s="1" t="s">
        <v>18</v>
      </c>
      <c r="E176" s="1" t="s">
        <v>19</v>
      </c>
      <c r="F176" s="1">
        <v>2</v>
      </c>
      <c r="G176" s="1">
        <v>12500</v>
      </c>
      <c r="H176" s="1">
        <v>9400</v>
      </c>
      <c r="I176" s="1">
        <v>0</v>
      </c>
    </row>
    <row r="177" spans="1:9" ht="13.5" x14ac:dyDescent="0.25">
      <c r="A177" s="1" t="s">
        <v>202</v>
      </c>
      <c r="B177" s="3">
        <v>45858</v>
      </c>
      <c r="C177" s="1" t="s">
        <v>21</v>
      </c>
      <c r="D177" s="1" t="s">
        <v>28</v>
      </c>
      <c r="E177" s="1" t="s">
        <v>15</v>
      </c>
      <c r="F177" s="1">
        <v>6</v>
      </c>
      <c r="G177" s="1">
        <v>2800</v>
      </c>
      <c r="H177" s="1">
        <v>1900</v>
      </c>
      <c r="I177" s="1">
        <v>0.05</v>
      </c>
    </row>
    <row r="178" spans="1:9" ht="13.5" x14ac:dyDescent="0.25">
      <c r="A178" s="1" t="s">
        <v>203</v>
      </c>
      <c r="B178" s="3">
        <v>45986</v>
      </c>
      <c r="C178" s="1" t="s">
        <v>21</v>
      </c>
      <c r="D178" s="1" t="s">
        <v>22</v>
      </c>
      <c r="E178" s="1" t="s">
        <v>19</v>
      </c>
      <c r="F178" s="1">
        <v>2</v>
      </c>
      <c r="G178" s="1">
        <v>650</v>
      </c>
      <c r="H178" s="1">
        <v>340</v>
      </c>
      <c r="I178" s="1">
        <v>0</v>
      </c>
    </row>
    <row r="179" spans="1:9" ht="13.5" x14ac:dyDescent="0.25">
      <c r="A179" s="1" t="s">
        <v>204</v>
      </c>
      <c r="B179" s="3">
        <v>45717</v>
      </c>
      <c r="C179" s="1" t="s">
        <v>10</v>
      </c>
      <c r="D179" s="1" t="s">
        <v>22</v>
      </c>
      <c r="E179" s="1" t="s">
        <v>19</v>
      </c>
      <c r="F179" s="1">
        <v>5</v>
      </c>
      <c r="G179" s="1">
        <v>650</v>
      </c>
      <c r="H179" s="1">
        <v>340</v>
      </c>
      <c r="I179" s="1">
        <v>0</v>
      </c>
    </row>
    <row r="180" spans="1:9" ht="13.5" x14ac:dyDescent="0.25">
      <c r="A180" s="1" t="s">
        <v>205</v>
      </c>
      <c r="B180" s="3">
        <v>45893</v>
      </c>
      <c r="C180" s="1" t="s">
        <v>17</v>
      </c>
      <c r="D180" s="1" t="s">
        <v>63</v>
      </c>
      <c r="E180" s="1" t="s">
        <v>12</v>
      </c>
      <c r="F180" s="1">
        <v>2</v>
      </c>
      <c r="G180" s="1">
        <v>520</v>
      </c>
      <c r="H180" s="1">
        <v>290</v>
      </c>
      <c r="I180" s="1">
        <v>0.1</v>
      </c>
    </row>
    <row r="181" spans="1:9" ht="13.5" x14ac:dyDescent="0.25">
      <c r="A181" s="1" t="s">
        <v>206</v>
      </c>
      <c r="B181" s="3">
        <v>45673</v>
      </c>
      <c r="C181" s="1" t="s">
        <v>10</v>
      </c>
      <c r="D181" s="1" t="s">
        <v>18</v>
      </c>
      <c r="E181" s="1" t="s">
        <v>19</v>
      </c>
      <c r="F181" s="1">
        <v>3</v>
      </c>
      <c r="G181" s="1">
        <v>12500</v>
      </c>
      <c r="H181" s="1">
        <v>9400</v>
      </c>
      <c r="I181" s="1">
        <v>0.15</v>
      </c>
    </row>
    <row r="182" spans="1:9" ht="13.5" x14ac:dyDescent="0.25">
      <c r="A182" s="1" t="s">
        <v>207</v>
      </c>
      <c r="B182" s="3">
        <v>46003</v>
      </c>
      <c r="C182" s="1" t="s">
        <v>10</v>
      </c>
      <c r="D182" s="1" t="s">
        <v>54</v>
      </c>
      <c r="E182" s="1" t="s">
        <v>15</v>
      </c>
      <c r="F182" s="1">
        <v>2</v>
      </c>
      <c r="G182" s="1">
        <v>3900</v>
      </c>
      <c r="H182" s="1">
        <v>2700</v>
      </c>
      <c r="I182" s="1">
        <v>0.1</v>
      </c>
    </row>
    <row r="183" spans="1:9" ht="13.5" x14ac:dyDescent="0.25">
      <c r="A183" s="1" t="s">
        <v>208</v>
      </c>
      <c r="B183" s="3">
        <v>45854</v>
      </c>
      <c r="C183" s="1" t="s">
        <v>17</v>
      </c>
      <c r="D183" s="1" t="s">
        <v>63</v>
      </c>
      <c r="E183" s="1" t="s">
        <v>12</v>
      </c>
      <c r="F183" s="1">
        <v>1</v>
      </c>
      <c r="G183" s="1">
        <v>520</v>
      </c>
      <c r="H183" s="1">
        <v>290</v>
      </c>
      <c r="I183" s="1">
        <v>0</v>
      </c>
    </row>
    <row r="184" spans="1:9" ht="13.5" x14ac:dyDescent="0.25">
      <c r="A184" s="1" t="s">
        <v>209</v>
      </c>
      <c r="B184" s="3">
        <v>45951</v>
      </c>
      <c r="C184" s="1" t="s">
        <v>10</v>
      </c>
      <c r="D184" s="1" t="s">
        <v>63</v>
      </c>
      <c r="E184" s="1" t="s">
        <v>12</v>
      </c>
      <c r="F184" s="1">
        <v>4</v>
      </c>
      <c r="G184" s="1">
        <v>520</v>
      </c>
      <c r="H184" s="1">
        <v>290</v>
      </c>
      <c r="I184" s="1">
        <v>0.05</v>
      </c>
    </row>
    <row r="185" spans="1:9" ht="13.5" x14ac:dyDescent="0.25">
      <c r="A185" s="1" t="s">
        <v>210</v>
      </c>
      <c r="B185" s="3">
        <v>45799</v>
      </c>
      <c r="C185" s="1" t="s">
        <v>17</v>
      </c>
      <c r="D185" s="1" t="s">
        <v>18</v>
      </c>
      <c r="E185" s="1" t="s">
        <v>19</v>
      </c>
      <c r="F185" s="1">
        <v>5</v>
      </c>
      <c r="G185" s="1">
        <v>12500</v>
      </c>
      <c r="H185" s="1">
        <v>9400</v>
      </c>
      <c r="I185" s="1">
        <v>0.05</v>
      </c>
    </row>
    <row r="186" spans="1:9" ht="13.5" x14ac:dyDescent="0.25">
      <c r="A186" s="1" t="s">
        <v>211</v>
      </c>
      <c r="B186" s="3">
        <v>45965</v>
      </c>
      <c r="C186" s="1" t="s">
        <v>10</v>
      </c>
      <c r="D186" s="1" t="s">
        <v>54</v>
      </c>
      <c r="E186" s="1" t="s">
        <v>15</v>
      </c>
      <c r="F186" s="1">
        <v>2</v>
      </c>
      <c r="G186" s="1">
        <v>3900</v>
      </c>
      <c r="H186" s="1">
        <v>2700</v>
      </c>
      <c r="I186" s="1">
        <v>0.1</v>
      </c>
    </row>
    <row r="187" spans="1:9" ht="13.5" x14ac:dyDescent="0.25">
      <c r="A187" s="1" t="s">
        <v>212</v>
      </c>
      <c r="B187" s="3">
        <v>45925</v>
      </c>
      <c r="C187" s="1" t="s">
        <v>17</v>
      </c>
      <c r="D187" s="1" t="s">
        <v>44</v>
      </c>
      <c r="E187" s="1" t="s">
        <v>12</v>
      </c>
      <c r="F187" s="1">
        <v>1</v>
      </c>
      <c r="G187" s="1">
        <v>1100</v>
      </c>
      <c r="H187" s="1">
        <v>650</v>
      </c>
      <c r="I187" s="1">
        <v>0</v>
      </c>
    </row>
    <row r="188" spans="1:9" ht="13.5" x14ac:dyDescent="0.25">
      <c r="A188" s="1" t="s">
        <v>213</v>
      </c>
      <c r="B188" s="3">
        <v>45893</v>
      </c>
      <c r="C188" s="1" t="s">
        <v>10</v>
      </c>
      <c r="D188" s="1" t="s">
        <v>63</v>
      </c>
      <c r="E188" s="1" t="s">
        <v>12</v>
      </c>
      <c r="F188" s="1">
        <v>5</v>
      </c>
      <c r="G188" s="1">
        <v>520</v>
      </c>
      <c r="H188" s="1">
        <v>290</v>
      </c>
      <c r="I188" s="1">
        <v>0</v>
      </c>
    </row>
    <row r="189" spans="1:9" ht="13.5" x14ac:dyDescent="0.25">
      <c r="A189" s="1" t="s">
        <v>214</v>
      </c>
      <c r="B189" s="3">
        <v>45764</v>
      </c>
      <c r="C189" s="1" t="s">
        <v>10</v>
      </c>
      <c r="D189" s="1" t="s">
        <v>11</v>
      </c>
      <c r="E189" s="1" t="s">
        <v>12</v>
      </c>
      <c r="F189" s="1">
        <v>1</v>
      </c>
      <c r="G189" s="1">
        <v>1850</v>
      </c>
      <c r="H189" s="1">
        <v>1200</v>
      </c>
      <c r="I189" s="1">
        <v>0.1</v>
      </c>
    </row>
    <row r="190" spans="1:9" ht="13.5" x14ac:dyDescent="0.25">
      <c r="A190" s="1" t="s">
        <v>215</v>
      </c>
      <c r="B190" s="3">
        <v>45899</v>
      </c>
      <c r="C190" s="1" t="s">
        <v>10</v>
      </c>
      <c r="D190" s="1" t="s">
        <v>11</v>
      </c>
      <c r="E190" s="1" t="s">
        <v>12</v>
      </c>
      <c r="F190" s="1">
        <v>3</v>
      </c>
      <c r="G190" s="1">
        <v>1850</v>
      </c>
      <c r="H190" s="1">
        <v>1200</v>
      </c>
      <c r="I190" s="1">
        <v>0</v>
      </c>
    </row>
    <row r="191" spans="1:9" ht="13.5" x14ac:dyDescent="0.25">
      <c r="A191" s="1" t="s">
        <v>216</v>
      </c>
      <c r="B191" s="3">
        <v>45783</v>
      </c>
      <c r="C191" s="1" t="s">
        <v>17</v>
      </c>
      <c r="D191" s="1" t="s">
        <v>22</v>
      </c>
      <c r="E191" s="1" t="s">
        <v>19</v>
      </c>
      <c r="F191" s="1">
        <v>5</v>
      </c>
      <c r="G191" s="1">
        <v>650</v>
      </c>
      <c r="H191" s="1">
        <v>340</v>
      </c>
      <c r="I191" s="1">
        <v>0</v>
      </c>
    </row>
    <row r="192" spans="1:9" ht="13.5" x14ac:dyDescent="0.25">
      <c r="A192" s="1" t="s">
        <v>217</v>
      </c>
      <c r="B192" s="3">
        <v>45829</v>
      </c>
      <c r="C192" s="1" t="s">
        <v>17</v>
      </c>
      <c r="D192" s="1" t="s">
        <v>25</v>
      </c>
      <c r="E192" s="1" t="s">
        <v>19</v>
      </c>
      <c r="F192" s="1">
        <v>2</v>
      </c>
      <c r="G192" s="1">
        <v>3400</v>
      </c>
      <c r="H192" s="1">
        <v>2300</v>
      </c>
      <c r="I192" s="1">
        <v>0</v>
      </c>
    </row>
    <row r="193" spans="1:9" ht="13.5" x14ac:dyDescent="0.25">
      <c r="A193" s="1" t="s">
        <v>218</v>
      </c>
      <c r="B193" s="3">
        <v>45940</v>
      </c>
      <c r="C193" s="1" t="s">
        <v>10</v>
      </c>
      <c r="D193" s="1" t="s">
        <v>54</v>
      </c>
      <c r="E193" s="1" t="s">
        <v>15</v>
      </c>
      <c r="F193" s="1">
        <v>5</v>
      </c>
      <c r="G193" s="1">
        <v>3900</v>
      </c>
      <c r="H193" s="1">
        <v>2700</v>
      </c>
      <c r="I193" s="1">
        <v>0</v>
      </c>
    </row>
    <row r="194" spans="1:9" ht="13.5" x14ac:dyDescent="0.25">
      <c r="A194" s="1" t="s">
        <v>219</v>
      </c>
      <c r="B194" s="3">
        <v>45775</v>
      </c>
      <c r="C194" s="1" t="s">
        <v>27</v>
      </c>
      <c r="D194" s="1" t="s">
        <v>11</v>
      </c>
      <c r="E194" s="1" t="s">
        <v>12</v>
      </c>
      <c r="F194" s="1">
        <v>4</v>
      </c>
      <c r="G194" s="1">
        <v>1850</v>
      </c>
      <c r="H194" s="1">
        <v>1200</v>
      </c>
      <c r="I194" s="1">
        <v>0.05</v>
      </c>
    </row>
    <row r="195" spans="1:9" ht="13.5" x14ac:dyDescent="0.25">
      <c r="A195" s="1" t="s">
        <v>220</v>
      </c>
      <c r="B195" s="3">
        <v>45851</v>
      </c>
      <c r="C195" s="1" t="s">
        <v>10</v>
      </c>
      <c r="D195" s="1" t="s">
        <v>14</v>
      </c>
      <c r="E195" s="1" t="s">
        <v>15</v>
      </c>
      <c r="F195" s="1">
        <v>6</v>
      </c>
      <c r="G195" s="1">
        <v>2100</v>
      </c>
      <c r="H195" s="1">
        <v>1350</v>
      </c>
      <c r="I195" s="1">
        <v>0</v>
      </c>
    </row>
    <row r="196" spans="1:9" ht="13.5" x14ac:dyDescent="0.25">
      <c r="A196" s="1" t="s">
        <v>221</v>
      </c>
      <c r="B196" s="3">
        <v>46002</v>
      </c>
      <c r="C196" s="1" t="s">
        <v>10</v>
      </c>
      <c r="D196" s="1" t="s">
        <v>28</v>
      </c>
      <c r="E196" s="1" t="s">
        <v>15</v>
      </c>
      <c r="F196" s="1">
        <v>6</v>
      </c>
      <c r="G196" s="1">
        <v>2800</v>
      </c>
      <c r="H196" s="1">
        <v>1900</v>
      </c>
      <c r="I196" s="1">
        <v>0.1</v>
      </c>
    </row>
    <row r="197" spans="1:9" ht="13.5" x14ac:dyDescent="0.25">
      <c r="A197" s="1" t="s">
        <v>222</v>
      </c>
      <c r="B197" s="3">
        <v>45987</v>
      </c>
      <c r="C197" s="1" t="s">
        <v>17</v>
      </c>
      <c r="D197" s="1" t="s">
        <v>54</v>
      </c>
      <c r="E197" s="1" t="s">
        <v>15</v>
      </c>
      <c r="F197" s="1">
        <v>5</v>
      </c>
      <c r="G197" s="1">
        <v>3900</v>
      </c>
      <c r="H197" s="1">
        <v>2700</v>
      </c>
      <c r="I197" s="1">
        <v>0.15</v>
      </c>
    </row>
    <row r="198" spans="1:9" ht="13.5" x14ac:dyDescent="0.25">
      <c r="A198" s="1" t="s">
        <v>223</v>
      </c>
      <c r="B198" s="3">
        <v>45698</v>
      </c>
      <c r="C198" s="1" t="s">
        <v>10</v>
      </c>
      <c r="D198" s="1" t="s">
        <v>14</v>
      </c>
      <c r="E198" s="1" t="s">
        <v>15</v>
      </c>
      <c r="F198" s="1">
        <v>6</v>
      </c>
      <c r="G198" s="1">
        <v>2100</v>
      </c>
      <c r="H198" s="1">
        <v>1350</v>
      </c>
      <c r="I198" s="1">
        <v>0.05</v>
      </c>
    </row>
    <row r="199" spans="1:9" ht="13.5" x14ac:dyDescent="0.25">
      <c r="A199" s="1" t="s">
        <v>224</v>
      </c>
      <c r="B199" s="3">
        <v>45789</v>
      </c>
      <c r="C199" s="1" t="s">
        <v>10</v>
      </c>
      <c r="D199" s="1" t="s">
        <v>25</v>
      </c>
      <c r="E199" s="1" t="s">
        <v>19</v>
      </c>
      <c r="F199" s="1">
        <v>6</v>
      </c>
      <c r="G199" s="1">
        <v>3400</v>
      </c>
      <c r="H199" s="1">
        <v>2300</v>
      </c>
      <c r="I199" s="1">
        <v>0</v>
      </c>
    </row>
    <row r="200" spans="1:9" ht="13.5" x14ac:dyDescent="0.25">
      <c r="A200" s="1" t="s">
        <v>225</v>
      </c>
      <c r="B200" s="3">
        <v>46000</v>
      </c>
      <c r="C200" s="1" t="s">
        <v>17</v>
      </c>
      <c r="D200" s="1" t="s">
        <v>18</v>
      </c>
      <c r="E200" s="1" t="s">
        <v>19</v>
      </c>
      <c r="F200" s="1">
        <v>2</v>
      </c>
      <c r="G200" s="1">
        <v>12500</v>
      </c>
      <c r="H200" s="1">
        <v>9400</v>
      </c>
      <c r="I200" s="1">
        <v>0</v>
      </c>
    </row>
    <row r="201" spans="1:9" ht="13.5" x14ac:dyDescent="0.25">
      <c r="A201" s="1" t="s">
        <v>226</v>
      </c>
      <c r="B201" s="3">
        <v>45785</v>
      </c>
      <c r="C201" s="1" t="s">
        <v>17</v>
      </c>
      <c r="D201" s="1" t="s">
        <v>18</v>
      </c>
      <c r="E201" s="1" t="s">
        <v>19</v>
      </c>
      <c r="F201" s="1">
        <v>5</v>
      </c>
      <c r="G201" s="1">
        <v>12500</v>
      </c>
      <c r="H201" s="1">
        <v>9400</v>
      </c>
      <c r="I201" s="1">
        <v>0.1</v>
      </c>
    </row>
    <row r="202" spans="1:9" ht="13.5" x14ac:dyDescent="0.25">
      <c r="A202" s="1" t="s">
        <v>227</v>
      </c>
      <c r="B202" s="3">
        <v>45884</v>
      </c>
      <c r="C202" s="1" t="s">
        <v>27</v>
      </c>
      <c r="D202" s="1" t="s">
        <v>14</v>
      </c>
      <c r="E202" s="1" t="s">
        <v>15</v>
      </c>
      <c r="F202" s="1">
        <v>1</v>
      </c>
      <c r="G202" s="1">
        <v>2100</v>
      </c>
      <c r="H202" s="1">
        <v>1350</v>
      </c>
      <c r="I202" s="1">
        <v>0.15</v>
      </c>
    </row>
    <row r="203" spans="1:9" ht="13.5" x14ac:dyDescent="0.25">
      <c r="A203" s="1" t="s">
        <v>228</v>
      </c>
      <c r="B203" s="3">
        <v>45871</v>
      </c>
      <c r="C203" s="1" t="s">
        <v>10</v>
      </c>
      <c r="D203" s="1" t="s">
        <v>11</v>
      </c>
      <c r="E203" s="1" t="s">
        <v>12</v>
      </c>
      <c r="F203" s="1">
        <v>1</v>
      </c>
      <c r="G203" s="1">
        <v>1850</v>
      </c>
      <c r="H203" s="1">
        <v>1200</v>
      </c>
      <c r="I203" s="1">
        <v>0.1</v>
      </c>
    </row>
    <row r="204" spans="1:9" ht="13.5" x14ac:dyDescent="0.25">
      <c r="A204" s="1" t="s">
        <v>229</v>
      </c>
      <c r="B204" s="3">
        <v>45748</v>
      </c>
      <c r="C204" s="1" t="s">
        <v>10</v>
      </c>
      <c r="D204" s="1" t="s">
        <v>25</v>
      </c>
      <c r="E204" s="1" t="s">
        <v>19</v>
      </c>
      <c r="F204" s="1">
        <v>3</v>
      </c>
      <c r="G204" s="1">
        <v>3400</v>
      </c>
      <c r="H204" s="1">
        <v>2300</v>
      </c>
      <c r="I204" s="1">
        <v>0</v>
      </c>
    </row>
    <row r="205" spans="1:9" ht="13.5" x14ac:dyDescent="0.25">
      <c r="A205" s="1" t="s">
        <v>230</v>
      </c>
      <c r="B205" s="3">
        <v>45803</v>
      </c>
      <c r="C205" s="1" t="s">
        <v>21</v>
      </c>
      <c r="D205" s="1" t="s">
        <v>63</v>
      </c>
      <c r="E205" s="1" t="s">
        <v>12</v>
      </c>
      <c r="F205" s="1">
        <v>2</v>
      </c>
      <c r="G205" s="1">
        <v>520</v>
      </c>
      <c r="H205" s="1">
        <v>290</v>
      </c>
      <c r="I205" s="1">
        <v>0</v>
      </c>
    </row>
    <row r="206" spans="1:9" ht="13.5" x14ac:dyDescent="0.25">
      <c r="A206" s="1" t="s">
        <v>231</v>
      </c>
      <c r="B206" s="3">
        <v>45687</v>
      </c>
      <c r="C206" s="1" t="s">
        <v>27</v>
      </c>
      <c r="D206" s="1" t="s">
        <v>11</v>
      </c>
      <c r="E206" s="1" t="s">
        <v>12</v>
      </c>
      <c r="F206" s="1">
        <v>1</v>
      </c>
      <c r="G206" s="1">
        <v>1850</v>
      </c>
      <c r="H206" s="1">
        <v>1200</v>
      </c>
      <c r="I206" s="1">
        <v>0.05</v>
      </c>
    </row>
    <row r="207" spans="1:9" ht="13.5" x14ac:dyDescent="0.25">
      <c r="A207" s="1" t="s">
        <v>232</v>
      </c>
      <c r="B207" s="3">
        <v>45824</v>
      </c>
      <c r="C207" s="1" t="s">
        <v>27</v>
      </c>
      <c r="D207" s="1" t="s">
        <v>54</v>
      </c>
      <c r="E207" s="1" t="s">
        <v>15</v>
      </c>
      <c r="F207" s="1">
        <v>3</v>
      </c>
      <c r="G207" s="1">
        <v>3900</v>
      </c>
      <c r="H207" s="1">
        <v>2700</v>
      </c>
      <c r="I207" s="1">
        <v>0.1</v>
      </c>
    </row>
    <row r="208" spans="1:9" ht="13.5" x14ac:dyDescent="0.25">
      <c r="A208" s="1" t="s">
        <v>233</v>
      </c>
      <c r="B208" s="3">
        <v>45710</v>
      </c>
      <c r="C208" s="1" t="s">
        <v>17</v>
      </c>
      <c r="D208" s="1" t="s">
        <v>25</v>
      </c>
      <c r="E208" s="1" t="s">
        <v>19</v>
      </c>
      <c r="F208" s="1">
        <v>4</v>
      </c>
      <c r="G208" s="1">
        <v>3400</v>
      </c>
      <c r="H208" s="1">
        <v>2300</v>
      </c>
      <c r="I208" s="1">
        <v>0</v>
      </c>
    </row>
    <row r="209" spans="1:9" ht="13.5" x14ac:dyDescent="0.25">
      <c r="A209" s="1" t="s">
        <v>234</v>
      </c>
      <c r="B209" s="3">
        <v>46010</v>
      </c>
      <c r="C209" s="1" t="s">
        <v>17</v>
      </c>
      <c r="D209" s="1" t="s">
        <v>18</v>
      </c>
      <c r="E209" s="1" t="s">
        <v>19</v>
      </c>
      <c r="F209" s="1">
        <v>1</v>
      </c>
      <c r="G209" s="1">
        <v>12500</v>
      </c>
      <c r="H209" s="1">
        <v>9400</v>
      </c>
      <c r="I209" s="1">
        <v>0.05</v>
      </c>
    </row>
    <row r="210" spans="1:9" ht="13.5" x14ac:dyDescent="0.25">
      <c r="A210" s="1" t="s">
        <v>235</v>
      </c>
      <c r="B210" s="3">
        <v>45717</v>
      </c>
      <c r="C210" s="1" t="s">
        <v>17</v>
      </c>
      <c r="D210" s="1" t="s">
        <v>54</v>
      </c>
      <c r="E210" s="1" t="s">
        <v>15</v>
      </c>
      <c r="F210" s="1">
        <v>2</v>
      </c>
      <c r="G210" s="1">
        <v>3900</v>
      </c>
      <c r="H210" s="1">
        <v>2700</v>
      </c>
      <c r="I210" s="1">
        <v>0</v>
      </c>
    </row>
    <row r="211" spans="1:9" ht="13.5" x14ac:dyDescent="0.25">
      <c r="A211" s="1" t="s">
        <v>236</v>
      </c>
      <c r="B211" s="3">
        <v>45680</v>
      </c>
      <c r="C211" s="1" t="s">
        <v>10</v>
      </c>
      <c r="D211" s="1" t="s">
        <v>14</v>
      </c>
      <c r="E211" s="1" t="s">
        <v>15</v>
      </c>
      <c r="F211" s="1">
        <v>4</v>
      </c>
      <c r="G211" s="1">
        <v>2100</v>
      </c>
      <c r="H211" s="1">
        <v>1350</v>
      </c>
      <c r="I211" s="1">
        <v>0.05</v>
      </c>
    </row>
    <row r="212" spans="1:9" ht="13.5" x14ac:dyDescent="0.25">
      <c r="A212" s="1" t="s">
        <v>237</v>
      </c>
      <c r="B212" s="3">
        <v>45725</v>
      </c>
      <c r="C212" s="1" t="s">
        <v>10</v>
      </c>
      <c r="D212" s="1" t="s">
        <v>18</v>
      </c>
      <c r="E212" s="1" t="s">
        <v>19</v>
      </c>
      <c r="F212" s="1">
        <v>5</v>
      </c>
      <c r="G212" s="1">
        <v>12500</v>
      </c>
      <c r="H212" s="1">
        <v>9400</v>
      </c>
      <c r="I212" s="1">
        <v>0</v>
      </c>
    </row>
    <row r="213" spans="1:9" ht="13.5" x14ac:dyDescent="0.25">
      <c r="A213" s="1" t="s">
        <v>238</v>
      </c>
      <c r="B213" s="3">
        <v>45713</v>
      </c>
      <c r="C213" s="1" t="s">
        <v>10</v>
      </c>
      <c r="D213" s="1" t="s">
        <v>22</v>
      </c>
      <c r="E213" s="1" t="s">
        <v>19</v>
      </c>
      <c r="F213" s="1">
        <v>3</v>
      </c>
      <c r="G213" s="1">
        <v>650</v>
      </c>
      <c r="H213" s="1">
        <v>340</v>
      </c>
      <c r="I213" s="1">
        <v>0</v>
      </c>
    </row>
    <row r="214" spans="1:9" ht="13.5" x14ac:dyDescent="0.25">
      <c r="A214" s="1" t="s">
        <v>239</v>
      </c>
      <c r="B214" s="3">
        <v>45942</v>
      </c>
      <c r="C214" s="1" t="s">
        <v>10</v>
      </c>
      <c r="D214" s="1" t="s">
        <v>44</v>
      </c>
      <c r="E214" s="1" t="s">
        <v>12</v>
      </c>
      <c r="F214" s="1">
        <v>1</v>
      </c>
      <c r="G214" s="1">
        <v>1100</v>
      </c>
      <c r="H214" s="1">
        <v>650</v>
      </c>
      <c r="I214" s="1">
        <v>0.1</v>
      </c>
    </row>
    <row r="215" spans="1:9" ht="13.5" x14ac:dyDescent="0.25">
      <c r="A215" s="1" t="s">
        <v>240</v>
      </c>
      <c r="B215" s="3">
        <v>45943</v>
      </c>
      <c r="C215" s="1" t="s">
        <v>10</v>
      </c>
      <c r="D215" s="1" t="s">
        <v>22</v>
      </c>
      <c r="E215" s="1" t="s">
        <v>19</v>
      </c>
      <c r="F215" s="1">
        <v>6</v>
      </c>
      <c r="G215" s="1">
        <v>650</v>
      </c>
      <c r="H215" s="1">
        <v>340</v>
      </c>
      <c r="I215" s="1">
        <v>0.1</v>
      </c>
    </row>
    <row r="216" spans="1:9" ht="13.5" x14ac:dyDescent="0.25">
      <c r="A216" s="1" t="s">
        <v>241</v>
      </c>
      <c r="B216" s="2">
        <v>45831</v>
      </c>
      <c r="C216" s="8" t="s">
        <v>242</v>
      </c>
      <c r="D216" s="1" t="s">
        <v>25</v>
      </c>
      <c r="E216" s="1" t="s">
        <v>19</v>
      </c>
      <c r="F216" s="1">
        <v>2</v>
      </c>
      <c r="G216" s="1">
        <v>3400</v>
      </c>
      <c r="H216" s="1">
        <v>2300</v>
      </c>
      <c r="I216" s="1">
        <v>0</v>
      </c>
    </row>
    <row r="217" spans="1:9" ht="13.5" x14ac:dyDescent="0.25">
      <c r="A217" s="1" t="s">
        <v>243</v>
      </c>
      <c r="B217" s="3">
        <v>45971</v>
      </c>
      <c r="C217" s="1" t="s">
        <v>10</v>
      </c>
      <c r="D217" s="1" t="s">
        <v>28</v>
      </c>
      <c r="E217" s="1" t="s">
        <v>15</v>
      </c>
      <c r="F217" s="1">
        <v>2</v>
      </c>
      <c r="G217" s="1">
        <v>2800</v>
      </c>
      <c r="H217" s="1">
        <v>1900</v>
      </c>
      <c r="I217" s="1">
        <v>0.1</v>
      </c>
    </row>
    <row r="218" spans="1:9" ht="13.5" x14ac:dyDescent="0.25">
      <c r="A218" s="1" t="s">
        <v>244</v>
      </c>
      <c r="B218" s="3">
        <v>45827</v>
      </c>
      <c r="C218" s="1" t="s">
        <v>27</v>
      </c>
      <c r="D218" s="1" t="s">
        <v>44</v>
      </c>
      <c r="E218" s="1" t="s">
        <v>12</v>
      </c>
      <c r="F218" s="1">
        <v>2</v>
      </c>
      <c r="G218" s="1">
        <v>1100</v>
      </c>
      <c r="H218" s="1">
        <v>650</v>
      </c>
      <c r="I218" s="1">
        <v>0.05</v>
      </c>
    </row>
    <row r="219" spans="1:9" ht="13.5" x14ac:dyDescent="0.25">
      <c r="A219" s="1" t="s">
        <v>245</v>
      </c>
      <c r="B219" s="3">
        <v>45679</v>
      </c>
      <c r="C219" s="1" t="s">
        <v>27</v>
      </c>
      <c r="D219" s="1" t="s">
        <v>18</v>
      </c>
      <c r="E219" s="1" t="s">
        <v>19</v>
      </c>
      <c r="F219" s="1">
        <v>2</v>
      </c>
      <c r="G219" s="1">
        <v>12500</v>
      </c>
      <c r="H219" s="1">
        <v>9400</v>
      </c>
      <c r="I219" s="1">
        <v>0.15</v>
      </c>
    </row>
    <row r="220" spans="1:9" ht="13.5" x14ac:dyDescent="0.25">
      <c r="A220" s="1" t="s">
        <v>246</v>
      </c>
      <c r="B220" s="3">
        <v>45934</v>
      </c>
      <c r="C220" s="1" t="s">
        <v>17</v>
      </c>
      <c r="D220" s="1" t="s">
        <v>25</v>
      </c>
      <c r="E220" s="1" t="s">
        <v>19</v>
      </c>
      <c r="F220" s="1">
        <v>5</v>
      </c>
      <c r="G220" s="1">
        <v>3400</v>
      </c>
      <c r="H220" s="1">
        <v>2300</v>
      </c>
      <c r="I220" s="1">
        <v>0.15</v>
      </c>
    </row>
    <row r="221" spans="1:9" ht="13.5" x14ac:dyDescent="0.25">
      <c r="A221" s="1" t="s">
        <v>247</v>
      </c>
      <c r="B221" s="3">
        <v>45880</v>
      </c>
      <c r="C221" s="1" t="s">
        <v>27</v>
      </c>
      <c r="D221" s="1" t="s">
        <v>63</v>
      </c>
      <c r="E221" s="1" t="s">
        <v>12</v>
      </c>
      <c r="F221" s="1">
        <v>6</v>
      </c>
      <c r="G221" s="1">
        <v>520</v>
      </c>
      <c r="H221" s="1">
        <v>290</v>
      </c>
      <c r="I221" s="1">
        <v>0.05</v>
      </c>
    </row>
    <row r="222" spans="1:9" ht="13.5" x14ac:dyDescent="0.25">
      <c r="A222" s="1" t="s">
        <v>248</v>
      </c>
      <c r="B222" s="3">
        <v>45994</v>
      </c>
      <c r="C222" s="1" t="s">
        <v>17</v>
      </c>
      <c r="D222" s="1" t="s">
        <v>28</v>
      </c>
      <c r="E222" s="1" t="s">
        <v>15</v>
      </c>
      <c r="F222" s="1">
        <v>4</v>
      </c>
      <c r="G222" s="1">
        <v>2800</v>
      </c>
      <c r="H222" s="1">
        <v>1900</v>
      </c>
      <c r="I222" s="1">
        <v>0.05</v>
      </c>
    </row>
    <row r="223" spans="1:9" ht="13.5" x14ac:dyDescent="0.25">
      <c r="A223" s="1" t="s">
        <v>249</v>
      </c>
      <c r="B223" s="3">
        <v>45679</v>
      </c>
      <c r="C223" s="1" t="s">
        <v>10</v>
      </c>
      <c r="D223" s="1" t="s">
        <v>11</v>
      </c>
      <c r="E223" s="1" t="s">
        <v>12</v>
      </c>
      <c r="F223" s="1">
        <v>2</v>
      </c>
      <c r="G223" s="1">
        <v>1850</v>
      </c>
      <c r="H223" s="1">
        <v>1200</v>
      </c>
      <c r="I223" s="1">
        <v>0.1</v>
      </c>
    </row>
    <row r="224" spans="1:9" ht="13.5" x14ac:dyDescent="0.25">
      <c r="A224" s="1" t="s">
        <v>250</v>
      </c>
      <c r="B224" s="3">
        <v>45689</v>
      </c>
      <c r="C224" s="1" t="s">
        <v>10</v>
      </c>
      <c r="D224" s="1" t="s">
        <v>44</v>
      </c>
      <c r="E224" s="1" t="s">
        <v>12</v>
      </c>
      <c r="F224" s="1">
        <v>2</v>
      </c>
      <c r="G224" s="1">
        <v>1100</v>
      </c>
      <c r="H224" s="1">
        <v>650</v>
      </c>
      <c r="I224" s="1">
        <v>0.05</v>
      </c>
    </row>
    <row r="225" spans="1:9" ht="13.5" x14ac:dyDescent="0.25">
      <c r="A225" s="1" t="s">
        <v>251</v>
      </c>
      <c r="B225" s="3">
        <v>45893</v>
      </c>
      <c r="C225" s="1" t="s">
        <v>10</v>
      </c>
      <c r="D225" s="1" t="s">
        <v>63</v>
      </c>
      <c r="E225" s="1" t="s">
        <v>12</v>
      </c>
      <c r="F225" s="1">
        <v>3</v>
      </c>
      <c r="G225" s="1">
        <v>520</v>
      </c>
      <c r="H225" s="1">
        <v>290</v>
      </c>
      <c r="I225" s="1">
        <v>0.1</v>
      </c>
    </row>
    <row r="226" spans="1:9" ht="13.5" x14ac:dyDescent="0.25">
      <c r="A226" s="1" t="s">
        <v>252</v>
      </c>
      <c r="B226" s="3">
        <v>45741</v>
      </c>
      <c r="C226" s="1" t="s">
        <v>10</v>
      </c>
      <c r="D226" s="1" t="s">
        <v>25</v>
      </c>
      <c r="E226" s="1" t="s">
        <v>19</v>
      </c>
      <c r="F226" s="1">
        <v>4</v>
      </c>
      <c r="G226" s="1">
        <v>3400</v>
      </c>
      <c r="H226" s="1">
        <v>2300</v>
      </c>
      <c r="I226" s="1">
        <v>0</v>
      </c>
    </row>
    <row r="227" spans="1:9" ht="13.5" x14ac:dyDescent="0.25">
      <c r="A227" s="1" t="s">
        <v>253</v>
      </c>
      <c r="B227" s="3">
        <v>46006</v>
      </c>
      <c r="C227" s="1" t="s">
        <v>10</v>
      </c>
      <c r="D227" s="1" t="s">
        <v>63</v>
      </c>
      <c r="E227" s="1" t="s">
        <v>12</v>
      </c>
      <c r="F227" s="1">
        <v>6</v>
      </c>
      <c r="G227" s="1">
        <v>520</v>
      </c>
      <c r="H227" s="1">
        <v>290</v>
      </c>
      <c r="I227" s="1">
        <v>0.05</v>
      </c>
    </row>
    <row r="228" spans="1:9" ht="13.5" x14ac:dyDescent="0.25">
      <c r="A228" s="1" t="s">
        <v>254</v>
      </c>
      <c r="B228" s="3">
        <v>45949</v>
      </c>
      <c r="C228" s="1" t="s">
        <v>27</v>
      </c>
      <c r="D228" s="1" t="s">
        <v>11</v>
      </c>
      <c r="E228" s="1" t="s">
        <v>12</v>
      </c>
      <c r="F228" s="1">
        <v>1</v>
      </c>
      <c r="G228" s="1">
        <v>1850</v>
      </c>
      <c r="H228" s="1">
        <v>1200</v>
      </c>
      <c r="I228" s="1">
        <v>0.05</v>
      </c>
    </row>
    <row r="229" spans="1:9" ht="13.5" x14ac:dyDescent="0.25">
      <c r="A229" s="1" t="s">
        <v>255</v>
      </c>
      <c r="B229" s="3">
        <v>45788</v>
      </c>
      <c r="C229" s="1" t="s">
        <v>17</v>
      </c>
      <c r="D229" s="1" t="s">
        <v>25</v>
      </c>
      <c r="E229" s="1" t="s">
        <v>19</v>
      </c>
      <c r="F229" s="1">
        <v>3</v>
      </c>
      <c r="G229" s="1">
        <v>3400</v>
      </c>
      <c r="H229" s="1">
        <v>2300</v>
      </c>
      <c r="I229" s="1">
        <v>0</v>
      </c>
    </row>
    <row r="230" spans="1:9" ht="13.5" x14ac:dyDescent="0.25">
      <c r="A230" s="1" t="s">
        <v>256</v>
      </c>
      <c r="B230" s="3">
        <v>45921</v>
      </c>
      <c r="C230" s="1" t="s">
        <v>17</v>
      </c>
      <c r="D230" s="1" t="s">
        <v>54</v>
      </c>
      <c r="E230" s="1" t="s">
        <v>15</v>
      </c>
      <c r="F230" s="1">
        <v>2</v>
      </c>
      <c r="G230" s="1">
        <v>3900</v>
      </c>
      <c r="H230" s="1">
        <v>2700</v>
      </c>
      <c r="I230" s="1">
        <v>0.1</v>
      </c>
    </row>
    <row r="231" spans="1:9" ht="13.5" x14ac:dyDescent="0.25">
      <c r="A231" s="1" t="s">
        <v>257</v>
      </c>
      <c r="B231" s="3">
        <v>45812</v>
      </c>
      <c r="C231" s="1" t="s">
        <v>10</v>
      </c>
      <c r="D231" s="1" t="s">
        <v>63</v>
      </c>
      <c r="E231" s="1" t="s">
        <v>12</v>
      </c>
      <c r="F231" s="1">
        <v>6</v>
      </c>
      <c r="G231" s="1">
        <v>520</v>
      </c>
      <c r="H231" s="1">
        <v>290</v>
      </c>
      <c r="I231" s="1">
        <v>0</v>
      </c>
    </row>
    <row r="232" spans="1:9" ht="13.5" x14ac:dyDescent="0.25">
      <c r="A232" s="1" t="s">
        <v>258</v>
      </c>
      <c r="B232" s="3">
        <v>45715</v>
      </c>
      <c r="C232" s="1" t="s">
        <v>21</v>
      </c>
      <c r="D232" s="1" t="s">
        <v>63</v>
      </c>
      <c r="E232" s="1" t="s">
        <v>12</v>
      </c>
      <c r="F232" s="1">
        <v>6</v>
      </c>
      <c r="G232" s="1">
        <v>520</v>
      </c>
      <c r="H232" s="1">
        <v>290</v>
      </c>
      <c r="I232" s="1">
        <v>0.05</v>
      </c>
    </row>
    <row r="233" spans="1:9" ht="13.5" x14ac:dyDescent="0.25">
      <c r="A233" s="1" t="s">
        <v>259</v>
      </c>
      <c r="B233" s="3">
        <v>45963</v>
      </c>
      <c r="C233" s="1" t="s">
        <v>27</v>
      </c>
      <c r="D233" s="1" t="s">
        <v>28</v>
      </c>
      <c r="E233" s="1" t="s">
        <v>15</v>
      </c>
      <c r="F233" s="1">
        <v>3</v>
      </c>
      <c r="G233" s="1">
        <v>2800</v>
      </c>
      <c r="H233" s="1">
        <v>1900</v>
      </c>
      <c r="I233" s="1">
        <v>0</v>
      </c>
    </row>
    <row r="234" spans="1:9" ht="13.5" x14ac:dyDescent="0.25">
      <c r="A234" s="1" t="s">
        <v>260</v>
      </c>
      <c r="B234" s="3">
        <v>45816</v>
      </c>
      <c r="C234" s="1" t="s">
        <v>27</v>
      </c>
      <c r="D234" s="1" t="s">
        <v>54</v>
      </c>
      <c r="E234" s="1" t="s">
        <v>15</v>
      </c>
      <c r="F234" s="1">
        <v>6</v>
      </c>
      <c r="G234" s="1">
        <v>3900</v>
      </c>
      <c r="H234" s="1">
        <v>2700</v>
      </c>
      <c r="I234" s="1">
        <v>0</v>
      </c>
    </row>
    <row r="235" spans="1:9" ht="13.5" x14ac:dyDescent="0.25">
      <c r="A235" s="1" t="s">
        <v>261</v>
      </c>
      <c r="B235" s="3">
        <v>45994</v>
      </c>
      <c r="C235" s="1" t="s">
        <v>21</v>
      </c>
      <c r="D235" s="1" t="s">
        <v>18</v>
      </c>
      <c r="E235" s="1" t="s">
        <v>19</v>
      </c>
      <c r="F235" s="1">
        <v>4</v>
      </c>
      <c r="G235" s="1">
        <v>12500</v>
      </c>
      <c r="H235" s="1">
        <v>9400</v>
      </c>
      <c r="I235" s="1">
        <v>0</v>
      </c>
    </row>
    <row r="236" spans="1:9" ht="13.5" x14ac:dyDescent="0.25">
      <c r="A236" s="1" t="s">
        <v>262</v>
      </c>
      <c r="B236" s="3">
        <v>45804</v>
      </c>
      <c r="C236" s="1" t="s">
        <v>10</v>
      </c>
      <c r="D236" s="1" t="s">
        <v>14</v>
      </c>
      <c r="E236" s="1" t="s">
        <v>15</v>
      </c>
      <c r="F236" s="1">
        <v>2</v>
      </c>
      <c r="G236" s="1">
        <v>2100</v>
      </c>
      <c r="H236" s="1">
        <v>1350</v>
      </c>
      <c r="I236" s="1">
        <v>0.1</v>
      </c>
    </row>
    <row r="237" spans="1:9" ht="13.5" x14ac:dyDescent="0.25">
      <c r="A237" s="1" t="s">
        <v>263</v>
      </c>
      <c r="B237" s="3">
        <v>45963</v>
      </c>
      <c r="C237" s="1" t="s">
        <v>27</v>
      </c>
      <c r="D237" s="1" t="s">
        <v>11</v>
      </c>
      <c r="E237" s="1" t="s">
        <v>12</v>
      </c>
      <c r="F237" s="1">
        <v>2</v>
      </c>
      <c r="G237" s="1">
        <v>1850</v>
      </c>
      <c r="H237" s="1">
        <v>1200</v>
      </c>
      <c r="I237" s="1">
        <v>0</v>
      </c>
    </row>
    <row r="238" spans="1:9" ht="13.5" x14ac:dyDescent="0.25">
      <c r="A238" s="1" t="s">
        <v>264</v>
      </c>
      <c r="B238" s="3">
        <v>45875</v>
      </c>
      <c r="C238" s="1" t="s">
        <v>17</v>
      </c>
      <c r="D238" s="1" t="s">
        <v>14</v>
      </c>
      <c r="E238" s="1" t="s">
        <v>15</v>
      </c>
      <c r="F238" s="1">
        <v>2</v>
      </c>
      <c r="G238" s="1">
        <v>2100</v>
      </c>
      <c r="H238" s="1">
        <v>1350</v>
      </c>
      <c r="I238" s="1">
        <v>0</v>
      </c>
    </row>
    <row r="239" spans="1:9" ht="13.5" x14ac:dyDescent="0.25">
      <c r="A239" s="1" t="s">
        <v>265</v>
      </c>
      <c r="B239" s="3">
        <v>45812</v>
      </c>
      <c r="C239" s="1" t="s">
        <v>10</v>
      </c>
      <c r="D239" s="1" t="s">
        <v>14</v>
      </c>
      <c r="E239" s="1" t="s">
        <v>15</v>
      </c>
      <c r="F239" s="1">
        <v>2</v>
      </c>
      <c r="G239" s="1">
        <v>2100</v>
      </c>
      <c r="H239" s="1">
        <v>1350</v>
      </c>
      <c r="I239" s="1">
        <v>0</v>
      </c>
    </row>
    <row r="240" spans="1:9" ht="13.5" x14ac:dyDescent="0.25">
      <c r="A240" s="1" t="s">
        <v>266</v>
      </c>
      <c r="B240" s="3">
        <v>45749</v>
      </c>
      <c r="C240" s="1" t="s">
        <v>27</v>
      </c>
      <c r="D240" s="1" t="s">
        <v>18</v>
      </c>
      <c r="E240" s="1" t="s">
        <v>19</v>
      </c>
      <c r="F240" s="1">
        <v>2</v>
      </c>
      <c r="G240" s="1">
        <v>12500</v>
      </c>
      <c r="H240" s="1">
        <v>9400</v>
      </c>
      <c r="I240" s="1">
        <v>0</v>
      </c>
    </row>
    <row r="241" spans="1:9" ht="13.5" x14ac:dyDescent="0.25">
      <c r="A241" s="1" t="s">
        <v>267</v>
      </c>
      <c r="B241" s="3">
        <v>45811</v>
      </c>
      <c r="C241" s="1" t="s">
        <v>27</v>
      </c>
      <c r="D241" s="1" t="s">
        <v>18</v>
      </c>
      <c r="E241" s="1" t="s">
        <v>19</v>
      </c>
      <c r="F241" s="1">
        <v>2</v>
      </c>
      <c r="G241" s="1">
        <v>12500</v>
      </c>
      <c r="H241" s="1">
        <v>9400</v>
      </c>
      <c r="I241" s="1">
        <v>0.05</v>
      </c>
    </row>
  </sheetData>
  <conditionalFormatting sqref="A1:A1048576">
    <cfRule type="duplicateValues" dxfId="25" priority="1"/>
    <cfRule type="duplicateValues" dxfId="24" priority="2"/>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FA7F86-DCED-4B30-A818-EC9CBB257445}">
  <sheetPr>
    <outlinePr summaryBelow="0" summaryRight="0"/>
  </sheetPr>
  <dimension ref="A1:M241"/>
  <sheetViews>
    <sheetView topLeftCell="C1" workbookViewId="0">
      <selection activeCell="M2" sqref="M2"/>
    </sheetView>
  </sheetViews>
  <sheetFormatPr defaultColWidth="14.42578125" defaultRowHeight="15.75" customHeight="1" x14ac:dyDescent="0.25"/>
  <cols>
    <col min="2" max="2" width="14.42578125" style="28"/>
    <col min="10" max="10" width="19" customWidth="1"/>
    <col min="11" max="11" width="20.42578125" style="31" customWidth="1"/>
    <col min="12" max="12" width="17.140625" style="31" customWidth="1"/>
    <col min="13" max="13" width="16.7109375" style="31" customWidth="1"/>
  </cols>
  <sheetData>
    <row r="1" spans="1:13" ht="13.5" x14ac:dyDescent="0.25">
      <c r="A1" s="36" t="s">
        <v>0</v>
      </c>
      <c r="B1" s="37" t="s">
        <v>1</v>
      </c>
      <c r="C1" s="36" t="s">
        <v>2</v>
      </c>
      <c r="D1" s="36" t="s">
        <v>3</v>
      </c>
      <c r="E1" s="36" t="s">
        <v>4</v>
      </c>
      <c r="F1" s="36" t="s">
        <v>5</v>
      </c>
      <c r="G1" s="36" t="s">
        <v>6</v>
      </c>
      <c r="H1" s="36" t="s">
        <v>7</v>
      </c>
      <c r="I1" s="36" t="s">
        <v>8</v>
      </c>
      <c r="J1" s="36" t="s">
        <v>290</v>
      </c>
      <c r="K1" s="38" t="s">
        <v>296</v>
      </c>
      <c r="L1" s="38" t="s">
        <v>297</v>
      </c>
      <c r="M1" s="38" t="s">
        <v>298</v>
      </c>
    </row>
    <row r="2" spans="1:13" ht="13.5" x14ac:dyDescent="0.25">
      <c r="A2" s="1" t="s">
        <v>9</v>
      </c>
      <c r="B2" s="3">
        <v>45828</v>
      </c>
      <c r="C2" s="1" t="str">
        <f>PROPER("Gauteng")</f>
        <v>Gauteng</v>
      </c>
      <c r="D2" s="1" t="s">
        <v>11</v>
      </c>
      <c r="E2" s="1" t="s">
        <v>12</v>
      </c>
      <c r="F2" s="1">
        <v>2</v>
      </c>
      <c r="G2" s="1">
        <v>1850</v>
      </c>
      <c r="H2" s="1">
        <v>1200</v>
      </c>
      <c r="I2" s="1">
        <v>0.05</v>
      </c>
      <c r="J2" s="8" t="str">
        <f>IF(OR(tblSalesClean[[#This Row],[Quantity]]="",tblSalesClean[[#This Row],[Discount_Pct]]=""),"Incomplete","Complete")</f>
        <v>Complete</v>
      </c>
      <c r="K2" s="30">
        <f>IF(OR(tblSalesClean[[#This Row],[Quantity]]="",tblSalesClean[[#This Row],[Unit_Price_ZAR]]=""),"",tblSalesClean[[#This Row],[Quantity]]*tblSalesClean[[#This Row],[Unit_Price_ZAR]])</f>
        <v>3700</v>
      </c>
      <c r="L2" s="30">
        <f>IF(OR(tblSalesClean[[#This Row],[Gross_Revenue_ZAR]]="",tblSalesClean[[#This Row],[Discount_Pct]]=""),"",tblSalesClean[[#This Row],[Gross_Revenue_ZAR]]*(1-tblSalesClean[[#This Row],[Discount_Pct]]))</f>
        <v>3515</v>
      </c>
      <c r="M2" s="30">
        <f>IF(OR(tblSalesClean[[#This Row],[Net_Revenue_ZAR]]="",tblSalesClean[[#This Row],[Quantity]]="",tblSalesClean[[#This Row],[Unit_Cost_ZAR]]=""),"",tblSalesClean[[#This Row],[Net_Revenue_ZAR]]-(tblSalesClean[[#This Row],[Quantity]]*tblSalesClean[[#This Row],[Unit_Cost_ZAR]]))</f>
        <v>1115</v>
      </c>
    </row>
    <row r="3" spans="1:13" ht="13.5" x14ac:dyDescent="0.25">
      <c r="A3" s="1" t="s">
        <v>13</v>
      </c>
      <c r="B3" s="3">
        <v>45941</v>
      </c>
      <c r="C3" s="1" t="s">
        <v>10</v>
      </c>
      <c r="D3" s="1" t="s">
        <v>14</v>
      </c>
      <c r="E3" s="1" t="s">
        <v>15</v>
      </c>
      <c r="F3" s="1">
        <v>6</v>
      </c>
      <c r="G3" s="1">
        <v>2100</v>
      </c>
      <c r="H3" s="1">
        <v>1350</v>
      </c>
      <c r="I3" s="1">
        <v>0.1</v>
      </c>
      <c r="J3" s="8" t="str">
        <f>IF(OR(tblSalesClean[[#This Row],[Quantity]]="",tblSalesClean[[#This Row],[Discount_Pct]]=""),"Incomplete","Complete")</f>
        <v>Complete</v>
      </c>
      <c r="K3" s="30">
        <f>IF(OR(tblSalesClean[[#This Row],[Quantity]]="",tblSalesClean[[#This Row],[Unit_Price_ZAR]]=""),"",tblSalesClean[[#This Row],[Quantity]]*tblSalesClean[[#This Row],[Unit_Price_ZAR]])</f>
        <v>12600</v>
      </c>
      <c r="L3" s="30">
        <f>IF(OR(tblSalesClean[[#This Row],[Gross_Revenue_ZAR]]="",tblSalesClean[[#This Row],[Discount_Pct]]=""),"",tblSalesClean[[#This Row],[Gross_Revenue_ZAR]]*(1-tblSalesClean[[#This Row],[Discount_Pct]]))</f>
        <v>11340</v>
      </c>
      <c r="M3" s="30">
        <f>IF(OR(tblSalesClean[[#This Row],[Net_Revenue_ZAR]]="",tblSalesClean[[#This Row],[Quantity]]="",tblSalesClean[[#This Row],[Unit_Cost_ZAR]]=""),"",tblSalesClean[[#This Row],[Net_Revenue_ZAR]]-(tblSalesClean[[#This Row],[Quantity]]*tblSalesClean[[#This Row],[Unit_Cost_ZAR]]))</f>
        <v>3240</v>
      </c>
    </row>
    <row r="4" spans="1:13" ht="13.5" x14ac:dyDescent="0.25">
      <c r="A4" s="1" t="s">
        <v>16</v>
      </c>
      <c r="B4" s="3">
        <v>45785</v>
      </c>
      <c r="C4" s="1" t="s">
        <v>17</v>
      </c>
      <c r="D4" s="1" t="s">
        <v>18</v>
      </c>
      <c r="E4" s="1" t="s">
        <v>19</v>
      </c>
      <c r="F4" s="1">
        <v>1</v>
      </c>
      <c r="G4" s="1">
        <v>12500</v>
      </c>
      <c r="H4" s="1">
        <v>9400</v>
      </c>
      <c r="I4" s="1">
        <v>0.05</v>
      </c>
      <c r="J4" s="8" t="str">
        <f>IF(OR(tblSalesClean[[#This Row],[Quantity]]="",tblSalesClean[[#This Row],[Discount_Pct]]=""),"Incomplete","Complete")</f>
        <v>Complete</v>
      </c>
      <c r="K4" s="30">
        <f>IF(OR(tblSalesClean[[#This Row],[Quantity]]="",tblSalesClean[[#This Row],[Unit_Price_ZAR]]=""),"",tblSalesClean[[#This Row],[Quantity]]*tblSalesClean[[#This Row],[Unit_Price_ZAR]])</f>
        <v>12500</v>
      </c>
      <c r="L4" s="30">
        <f>IF(OR(tblSalesClean[[#This Row],[Gross_Revenue_ZAR]]="",tblSalesClean[[#This Row],[Discount_Pct]]=""),"",tblSalesClean[[#This Row],[Gross_Revenue_ZAR]]*(1-tblSalesClean[[#This Row],[Discount_Pct]]))</f>
        <v>11875</v>
      </c>
      <c r="M4" s="30">
        <f>IF(OR(tblSalesClean[[#This Row],[Net_Revenue_ZAR]]="",tblSalesClean[[#This Row],[Quantity]]="",tblSalesClean[[#This Row],[Unit_Cost_ZAR]]=""),"",tblSalesClean[[#This Row],[Net_Revenue_ZAR]]-(tblSalesClean[[#This Row],[Quantity]]*tblSalesClean[[#This Row],[Unit_Cost_ZAR]]))</f>
        <v>2475</v>
      </c>
    </row>
    <row r="5" spans="1:13" ht="13.5" x14ac:dyDescent="0.25">
      <c r="A5" s="1" t="s">
        <v>20</v>
      </c>
      <c r="B5" s="3">
        <v>45734</v>
      </c>
      <c r="C5" s="1" t="s">
        <v>21</v>
      </c>
      <c r="D5" s="1" t="s">
        <v>22</v>
      </c>
      <c r="E5" s="1" t="s">
        <v>19</v>
      </c>
      <c r="F5" s="1">
        <v>3</v>
      </c>
      <c r="G5" s="1">
        <v>650</v>
      </c>
      <c r="H5" s="1">
        <v>340</v>
      </c>
      <c r="I5" s="1">
        <v>0</v>
      </c>
      <c r="J5" s="8" t="str">
        <f>IF(OR(tblSalesClean[[#This Row],[Quantity]]="",tblSalesClean[[#This Row],[Discount_Pct]]=""),"Incomplete","Complete")</f>
        <v>Complete</v>
      </c>
      <c r="K5" s="30">
        <f>IF(OR(tblSalesClean[[#This Row],[Quantity]]="",tblSalesClean[[#This Row],[Unit_Price_ZAR]]=""),"",tblSalesClean[[#This Row],[Quantity]]*tblSalesClean[[#This Row],[Unit_Price_ZAR]])</f>
        <v>1950</v>
      </c>
      <c r="L5" s="30">
        <f>IF(OR(tblSalesClean[[#This Row],[Gross_Revenue_ZAR]]="",tblSalesClean[[#This Row],[Discount_Pct]]=""),"",tblSalesClean[[#This Row],[Gross_Revenue_ZAR]]*(1-tblSalesClean[[#This Row],[Discount_Pct]]))</f>
        <v>1950</v>
      </c>
      <c r="M5" s="30">
        <f>IF(OR(tblSalesClean[[#This Row],[Net_Revenue_ZAR]]="",tblSalesClean[[#This Row],[Quantity]]="",tblSalesClean[[#This Row],[Unit_Cost_ZAR]]=""),"",tblSalesClean[[#This Row],[Net_Revenue_ZAR]]-(tblSalesClean[[#This Row],[Quantity]]*tblSalesClean[[#This Row],[Unit_Cost_ZAR]]))</f>
        <v>930</v>
      </c>
    </row>
    <row r="6" spans="1:13" ht="13.5" x14ac:dyDescent="0.25">
      <c r="A6" s="1" t="s">
        <v>23</v>
      </c>
      <c r="B6" s="3">
        <v>45993</v>
      </c>
      <c r="C6" s="1" t="s">
        <v>17</v>
      </c>
      <c r="D6" s="1" t="s">
        <v>14</v>
      </c>
      <c r="E6" s="1" t="s">
        <v>15</v>
      </c>
      <c r="F6" s="1">
        <v>5</v>
      </c>
      <c r="G6" s="1">
        <v>2100</v>
      </c>
      <c r="H6" s="1">
        <v>1350</v>
      </c>
      <c r="I6" s="1">
        <v>0</v>
      </c>
      <c r="J6" s="8" t="str">
        <f>IF(OR(tblSalesClean[[#This Row],[Quantity]]="",tblSalesClean[[#This Row],[Discount_Pct]]=""),"Incomplete","Complete")</f>
        <v>Complete</v>
      </c>
      <c r="K6" s="30">
        <f>IF(OR(tblSalesClean[[#This Row],[Quantity]]="",tblSalesClean[[#This Row],[Unit_Price_ZAR]]=""),"",tblSalesClean[[#This Row],[Quantity]]*tblSalesClean[[#This Row],[Unit_Price_ZAR]])</f>
        <v>10500</v>
      </c>
      <c r="L6" s="30">
        <f>IF(OR(tblSalesClean[[#This Row],[Gross_Revenue_ZAR]]="",tblSalesClean[[#This Row],[Discount_Pct]]=""),"",tblSalesClean[[#This Row],[Gross_Revenue_ZAR]]*(1-tblSalesClean[[#This Row],[Discount_Pct]]))</f>
        <v>10500</v>
      </c>
      <c r="M6" s="30">
        <f>IF(OR(tblSalesClean[[#This Row],[Net_Revenue_ZAR]]="",tblSalesClean[[#This Row],[Quantity]]="",tblSalesClean[[#This Row],[Unit_Cost_ZAR]]=""),"",tblSalesClean[[#This Row],[Net_Revenue_ZAR]]-(tblSalesClean[[#This Row],[Quantity]]*tblSalesClean[[#This Row],[Unit_Cost_ZAR]]))</f>
        <v>3750</v>
      </c>
    </row>
    <row r="7" spans="1:13" ht="13.5" x14ac:dyDescent="0.25">
      <c r="A7" s="1" t="s">
        <v>24</v>
      </c>
      <c r="B7" s="3">
        <v>45958</v>
      </c>
      <c r="C7" s="1" t="s">
        <v>10</v>
      </c>
      <c r="D7" s="1" t="s">
        <v>25</v>
      </c>
      <c r="E7" s="1" t="s">
        <v>19</v>
      </c>
      <c r="F7" s="1">
        <v>3</v>
      </c>
      <c r="G7" s="1">
        <v>3400</v>
      </c>
      <c r="H7" s="1">
        <v>2300</v>
      </c>
      <c r="I7" s="1">
        <v>0.15</v>
      </c>
      <c r="J7" s="8" t="str">
        <f>IF(OR(tblSalesClean[[#This Row],[Quantity]]="",tblSalesClean[[#This Row],[Discount_Pct]]=""),"Incomplete","Complete")</f>
        <v>Complete</v>
      </c>
      <c r="K7" s="30">
        <f>IF(OR(tblSalesClean[[#This Row],[Quantity]]="",tblSalesClean[[#This Row],[Unit_Price_ZAR]]=""),"",tblSalesClean[[#This Row],[Quantity]]*tblSalesClean[[#This Row],[Unit_Price_ZAR]])</f>
        <v>10200</v>
      </c>
      <c r="L7" s="30">
        <f>IF(OR(tblSalesClean[[#This Row],[Gross_Revenue_ZAR]]="",tblSalesClean[[#This Row],[Discount_Pct]]=""),"",tblSalesClean[[#This Row],[Gross_Revenue_ZAR]]*(1-tblSalesClean[[#This Row],[Discount_Pct]]))</f>
        <v>8670</v>
      </c>
      <c r="M7" s="30">
        <f>IF(OR(tblSalesClean[[#This Row],[Net_Revenue_ZAR]]="",tblSalesClean[[#This Row],[Quantity]]="",tblSalesClean[[#This Row],[Unit_Cost_ZAR]]=""),"",tblSalesClean[[#This Row],[Net_Revenue_ZAR]]-(tblSalesClean[[#This Row],[Quantity]]*tblSalesClean[[#This Row],[Unit_Cost_ZAR]]))</f>
        <v>1770</v>
      </c>
    </row>
    <row r="8" spans="1:13" ht="13.5" x14ac:dyDescent="0.25">
      <c r="A8" s="1" t="s">
        <v>26</v>
      </c>
      <c r="B8" s="3">
        <v>45695</v>
      </c>
      <c r="C8" s="1" t="s">
        <v>27</v>
      </c>
      <c r="D8" s="1" t="s">
        <v>28</v>
      </c>
      <c r="E8" s="1" t="s">
        <v>15</v>
      </c>
      <c r="F8" s="1">
        <v>6</v>
      </c>
      <c r="G8" s="1">
        <v>2800</v>
      </c>
      <c r="H8" s="1">
        <v>1900</v>
      </c>
      <c r="I8" s="1">
        <v>0.05</v>
      </c>
      <c r="J8" s="8" t="str">
        <f>IF(OR(tblSalesClean[[#This Row],[Quantity]]="",tblSalesClean[[#This Row],[Discount_Pct]]=""),"Incomplete","Complete")</f>
        <v>Complete</v>
      </c>
      <c r="K8" s="30">
        <f>IF(OR(tblSalesClean[[#This Row],[Quantity]]="",tblSalesClean[[#This Row],[Unit_Price_ZAR]]=""),"",tblSalesClean[[#This Row],[Quantity]]*tblSalesClean[[#This Row],[Unit_Price_ZAR]])</f>
        <v>16800</v>
      </c>
      <c r="L8" s="30">
        <f>IF(OR(tblSalesClean[[#This Row],[Gross_Revenue_ZAR]]="",tblSalesClean[[#This Row],[Discount_Pct]]=""),"",tblSalesClean[[#This Row],[Gross_Revenue_ZAR]]*(1-tblSalesClean[[#This Row],[Discount_Pct]]))</f>
        <v>15960</v>
      </c>
      <c r="M8" s="30">
        <f>IF(OR(tblSalesClean[[#This Row],[Net_Revenue_ZAR]]="",tblSalesClean[[#This Row],[Quantity]]="",tblSalesClean[[#This Row],[Unit_Cost_ZAR]]=""),"",tblSalesClean[[#This Row],[Net_Revenue_ZAR]]-(tblSalesClean[[#This Row],[Quantity]]*tblSalesClean[[#This Row],[Unit_Cost_ZAR]]))</f>
        <v>4560</v>
      </c>
    </row>
    <row r="9" spans="1:13" ht="13.5" x14ac:dyDescent="0.25">
      <c r="A9" s="1" t="s">
        <v>29</v>
      </c>
      <c r="B9" s="3">
        <v>45942</v>
      </c>
      <c r="C9" s="1" t="s">
        <v>17</v>
      </c>
      <c r="D9" s="1" t="s">
        <v>22</v>
      </c>
      <c r="E9" s="1" t="s">
        <v>19</v>
      </c>
      <c r="F9" s="1">
        <v>1</v>
      </c>
      <c r="G9" s="1">
        <v>650</v>
      </c>
      <c r="H9" s="1">
        <v>340</v>
      </c>
      <c r="I9" s="1">
        <v>0</v>
      </c>
      <c r="J9" s="8" t="str">
        <f>IF(OR(tblSalesClean[[#This Row],[Quantity]]="",tblSalesClean[[#This Row],[Discount_Pct]]=""),"Incomplete","Complete")</f>
        <v>Complete</v>
      </c>
      <c r="K9" s="30">
        <f>IF(OR(tblSalesClean[[#This Row],[Quantity]]="",tblSalesClean[[#This Row],[Unit_Price_ZAR]]=""),"",tblSalesClean[[#This Row],[Quantity]]*tblSalesClean[[#This Row],[Unit_Price_ZAR]])</f>
        <v>650</v>
      </c>
      <c r="L9" s="30">
        <f>IF(OR(tblSalesClean[[#This Row],[Gross_Revenue_ZAR]]="",tblSalesClean[[#This Row],[Discount_Pct]]=""),"",tblSalesClean[[#This Row],[Gross_Revenue_ZAR]]*(1-tblSalesClean[[#This Row],[Discount_Pct]]))</f>
        <v>650</v>
      </c>
      <c r="M9" s="30">
        <f>IF(OR(tblSalesClean[[#This Row],[Net_Revenue_ZAR]]="",tblSalesClean[[#This Row],[Quantity]]="",tblSalesClean[[#This Row],[Unit_Cost_ZAR]]=""),"",tblSalesClean[[#This Row],[Net_Revenue_ZAR]]-(tblSalesClean[[#This Row],[Quantity]]*tblSalesClean[[#This Row],[Unit_Cost_ZAR]]))</f>
        <v>310</v>
      </c>
    </row>
    <row r="10" spans="1:13" ht="13.5" x14ac:dyDescent="0.25">
      <c r="A10" s="1" t="s">
        <v>30</v>
      </c>
      <c r="B10" s="3">
        <v>46010</v>
      </c>
      <c r="C10" s="1" t="s">
        <v>21</v>
      </c>
      <c r="D10" s="1" t="s">
        <v>22</v>
      </c>
      <c r="E10" s="1" t="s">
        <v>19</v>
      </c>
      <c r="F10" s="1">
        <v>2</v>
      </c>
      <c r="G10" s="1">
        <v>650</v>
      </c>
      <c r="H10" s="1">
        <v>340</v>
      </c>
      <c r="I10" s="1">
        <v>0</v>
      </c>
      <c r="J10" s="8" t="str">
        <f>IF(OR(tblSalesClean[[#This Row],[Quantity]]="",tblSalesClean[[#This Row],[Discount_Pct]]=""),"Incomplete","Complete")</f>
        <v>Complete</v>
      </c>
      <c r="K10" s="30">
        <f>IF(OR(tblSalesClean[[#This Row],[Quantity]]="",tblSalesClean[[#This Row],[Unit_Price_ZAR]]=""),"",tblSalesClean[[#This Row],[Quantity]]*tblSalesClean[[#This Row],[Unit_Price_ZAR]])</f>
        <v>1300</v>
      </c>
      <c r="L10" s="30">
        <f>IF(OR(tblSalesClean[[#This Row],[Gross_Revenue_ZAR]]="",tblSalesClean[[#This Row],[Discount_Pct]]=""),"",tblSalesClean[[#This Row],[Gross_Revenue_ZAR]]*(1-tblSalesClean[[#This Row],[Discount_Pct]]))</f>
        <v>1300</v>
      </c>
      <c r="M10" s="30">
        <f>IF(OR(tblSalesClean[[#This Row],[Net_Revenue_ZAR]]="",tblSalesClean[[#This Row],[Quantity]]="",tblSalesClean[[#This Row],[Unit_Cost_ZAR]]=""),"",tblSalesClean[[#This Row],[Net_Revenue_ZAR]]-(tblSalesClean[[#This Row],[Quantity]]*tblSalesClean[[#This Row],[Unit_Cost_ZAR]]))</f>
        <v>620</v>
      </c>
    </row>
    <row r="11" spans="1:13" ht="13.5" x14ac:dyDescent="0.25">
      <c r="A11" s="1" t="s">
        <v>31</v>
      </c>
      <c r="B11" s="3">
        <v>45820</v>
      </c>
      <c r="C11" s="1" t="s">
        <v>10</v>
      </c>
      <c r="D11" s="1" t="s">
        <v>14</v>
      </c>
      <c r="E11" s="1" t="s">
        <v>15</v>
      </c>
      <c r="F11" s="1">
        <v>1</v>
      </c>
      <c r="G11" s="1">
        <v>2100</v>
      </c>
      <c r="H11" s="1">
        <v>1350</v>
      </c>
      <c r="I11" s="1">
        <v>0.1</v>
      </c>
      <c r="J11" s="8" t="str">
        <f>IF(OR(tblSalesClean[[#This Row],[Quantity]]="",tblSalesClean[[#This Row],[Discount_Pct]]=""),"Incomplete","Complete")</f>
        <v>Complete</v>
      </c>
      <c r="K11" s="30">
        <f>IF(OR(tblSalesClean[[#This Row],[Quantity]]="",tblSalesClean[[#This Row],[Unit_Price_ZAR]]=""),"",tblSalesClean[[#This Row],[Quantity]]*tblSalesClean[[#This Row],[Unit_Price_ZAR]])</f>
        <v>2100</v>
      </c>
      <c r="L11" s="30">
        <f>IF(OR(tblSalesClean[[#This Row],[Gross_Revenue_ZAR]]="",tblSalesClean[[#This Row],[Discount_Pct]]=""),"",tblSalesClean[[#This Row],[Gross_Revenue_ZAR]]*(1-tblSalesClean[[#This Row],[Discount_Pct]]))</f>
        <v>1890</v>
      </c>
      <c r="M11" s="30">
        <f>IF(OR(tblSalesClean[[#This Row],[Net_Revenue_ZAR]]="",tblSalesClean[[#This Row],[Quantity]]="",tblSalesClean[[#This Row],[Unit_Cost_ZAR]]=""),"",tblSalesClean[[#This Row],[Net_Revenue_ZAR]]-(tblSalesClean[[#This Row],[Quantity]]*tblSalesClean[[#This Row],[Unit_Cost_ZAR]]))</f>
        <v>540</v>
      </c>
    </row>
    <row r="12" spans="1:13" ht="13.5" x14ac:dyDescent="0.25">
      <c r="A12" s="1" t="s">
        <v>32</v>
      </c>
      <c r="B12" s="3">
        <v>45880</v>
      </c>
      <c r="C12" s="1" t="s">
        <v>27</v>
      </c>
      <c r="D12" s="1" t="s">
        <v>22</v>
      </c>
      <c r="E12" s="1" t="s">
        <v>19</v>
      </c>
      <c r="F12" s="1">
        <v>1</v>
      </c>
      <c r="G12" s="1">
        <v>650</v>
      </c>
      <c r="H12" s="1">
        <v>340</v>
      </c>
      <c r="I12" s="1">
        <v>0</v>
      </c>
      <c r="J12" s="8" t="str">
        <f>IF(OR(tblSalesClean[[#This Row],[Quantity]]="",tblSalesClean[[#This Row],[Discount_Pct]]=""),"Incomplete","Complete")</f>
        <v>Complete</v>
      </c>
      <c r="K12" s="30">
        <f>IF(OR(tblSalesClean[[#This Row],[Quantity]]="",tblSalesClean[[#This Row],[Unit_Price_ZAR]]=""),"",tblSalesClean[[#This Row],[Quantity]]*tblSalesClean[[#This Row],[Unit_Price_ZAR]])</f>
        <v>650</v>
      </c>
      <c r="L12" s="30">
        <f>IF(OR(tblSalesClean[[#This Row],[Gross_Revenue_ZAR]]="",tblSalesClean[[#This Row],[Discount_Pct]]=""),"",tblSalesClean[[#This Row],[Gross_Revenue_ZAR]]*(1-tblSalesClean[[#This Row],[Discount_Pct]]))</f>
        <v>650</v>
      </c>
      <c r="M12" s="30">
        <f>IF(OR(tblSalesClean[[#This Row],[Net_Revenue_ZAR]]="",tblSalesClean[[#This Row],[Quantity]]="",tblSalesClean[[#This Row],[Unit_Cost_ZAR]]=""),"",tblSalesClean[[#This Row],[Net_Revenue_ZAR]]-(tblSalesClean[[#This Row],[Quantity]]*tblSalesClean[[#This Row],[Unit_Cost_ZAR]]))</f>
        <v>310</v>
      </c>
    </row>
    <row r="13" spans="1:13" ht="13.5" x14ac:dyDescent="0.25">
      <c r="A13" s="1" t="s">
        <v>33</v>
      </c>
      <c r="B13" s="3">
        <v>45732</v>
      </c>
      <c r="C13" s="1" t="s">
        <v>10</v>
      </c>
      <c r="D13" s="1" t="s">
        <v>11</v>
      </c>
      <c r="E13" s="1" t="s">
        <v>12</v>
      </c>
      <c r="F13" s="1">
        <v>1</v>
      </c>
      <c r="G13" s="1">
        <v>1850</v>
      </c>
      <c r="H13" s="1">
        <v>1200</v>
      </c>
      <c r="I13" s="1">
        <v>0.05</v>
      </c>
      <c r="J13" s="8" t="str">
        <f>IF(OR(tblSalesClean[[#This Row],[Quantity]]="",tblSalesClean[[#This Row],[Discount_Pct]]=""),"Incomplete","Complete")</f>
        <v>Complete</v>
      </c>
      <c r="K13" s="30">
        <f>IF(OR(tblSalesClean[[#This Row],[Quantity]]="",tblSalesClean[[#This Row],[Unit_Price_ZAR]]=""),"",tblSalesClean[[#This Row],[Quantity]]*tblSalesClean[[#This Row],[Unit_Price_ZAR]])</f>
        <v>1850</v>
      </c>
      <c r="L13" s="30">
        <f>IF(OR(tblSalesClean[[#This Row],[Gross_Revenue_ZAR]]="",tblSalesClean[[#This Row],[Discount_Pct]]=""),"",tblSalesClean[[#This Row],[Gross_Revenue_ZAR]]*(1-tblSalesClean[[#This Row],[Discount_Pct]]))</f>
        <v>1757.5</v>
      </c>
      <c r="M13" s="30">
        <f>IF(OR(tblSalesClean[[#This Row],[Net_Revenue_ZAR]]="",tblSalesClean[[#This Row],[Quantity]]="",tblSalesClean[[#This Row],[Unit_Cost_ZAR]]=""),"",tblSalesClean[[#This Row],[Net_Revenue_ZAR]]-(tblSalesClean[[#This Row],[Quantity]]*tblSalesClean[[#This Row],[Unit_Cost_ZAR]]))</f>
        <v>557.5</v>
      </c>
    </row>
    <row r="14" spans="1:13" ht="13.5" x14ac:dyDescent="0.25">
      <c r="A14" s="1" t="s">
        <v>34</v>
      </c>
      <c r="B14" s="3">
        <v>45997</v>
      </c>
      <c r="C14" s="1" t="s">
        <v>17</v>
      </c>
      <c r="D14" s="1" t="s">
        <v>18</v>
      </c>
      <c r="E14" s="1" t="s">
        <v>19</v>
      </c>
      <c r="F14" s="1">
        <v>4</v>
      </c>
      <c r="G14" s="1">
        <v>12500</v>
      </c>
      <c r="H14" s="1">
        <v>9400</v>
      </c>
      <c r="I14" s="1">
        <v>0</v>
      </c>
      <c r="J14" s="8" t="str">
        <f>IF(OR(tblSalesClean[[#This Row],[Quantity]]="",tblSalesClean[[#This Row],[Discount_Pct]]=""),"Incomplete","Complete")</f>
        <v>Complete</v>
      </c>
      <c r="K14" s="30">
        <f>IF(OR(tblSalesClean[[#This Row],[Quantity]]="",tblSalesClean[[#This Row],[Unit_Price_ZAR]]=""),"",tblSalesClean[[#This Row],[Quantity]]*tblSalesClean[[#This Row],[Unit_Price_ZAR]])</f>
        <v>50000</v>
      </c>
      <c r="L14" s="30">
        <f>IF(OR(tblSalesClean[[#This Row],[Gross_Revenue_ZAR]]="",tblSalesClean[[#This Row],[Discount_Pct]]=""),"",tblSalesClean[[#This Row],[Gross_Revenue_ZAR]]*(1-tblSalesClean[[#This Row],[Discount_Pct]]))</f>
        <v>50000</v>
      </c>
      <c r="M14" s="30">
        <f>IF(OR(tblSalesClean[[#This Row],[Net_Revenue_ZAR]]="",tblSalesClean[[#This Row],[Quantity]]="",tblSalesClean[[#This Row],[Unit_Cost_ZAR]]=""),"",tblSalesClean[[#This Row],[Net_Revenue_ZAR]]-(tblSalesClean[[#This Row],[Quantity]]*tblSalesClean[[#This Row],[Unit_Cost_ZAR]]))</f>
        <v>12400</v>
      </c>
    </row>
    <row r="15" spans="1:13" ht="13.5" x14ac:dyDescent="0.25">
      <c r="A15" s="1" t="s">
        <v>35</v>
      </c>
      <c r="B15" s="3">
        <v>45701</v>
      </c>
      <c r="C15" s="1" t="s">
        <v>10</v>
      </c>
      <c r="D15" s="1" t="s">
        <v>18</v>
      </c>
      <c r="E15" s="1" t="s">
        <v>19</v>
      </c>
      <c r="F15" s="1">
        <v>4</v>
      </c>
      <c r="G15" s="1">
        <v>12500</v>
      </c>
      <c r="H15" s="1">
        <v>9400</v>
      </c>
      <c r="I15" s="1">
        <v>0.15</v>
      </c>
      <c r="J15" s="8" t="str">
        <f>IF(OR(tblSalesClean[[#This Row],[Quantity]]="",tblSalesClean[[#This Row],[Discount_Pct]]=""),"Incomplete","Complete")</f>
        <v>Complete</v>
      </c>
      <c r="K15" s="30">
        <f>IF(OR(tblSalesClean[[#This Row],[Quantity]]="",tblSalesClean[[#This Row],[Unit_Price_ZAR]]=""),"",tblSalesClean[[#This Row],[Quantity]]*tblSalesClean[[#This Row],[Unit_Price_ZAR]])</f>
        <v>50000</v>
      </c>
      <c r="L15" s="30">
        <f>IF(OR(tblSalesClean[[#This Row],[Gross_Revenue_ZAR]]="",tblSalesClean[[#This Row],[Discount_Pct]]=""),"",tblSalesClean[[#This Row],[Gross_Revenue_ZAR]]*(1-tblSalesClean[[#This Row],[Discount_Pct]]))</f>
        <v>42500</v>
      </c>
      <c r="M15" s="30">
        <f>IF(OR(tblSalesClean[[#This Row],[Net_Revenue_ZAR]]="",tblSalesClean[[#This Row],[Quantity]]="",tblSalesClean[[#This Row],[Unit_Cost_ZAR]]=""),"",tblSalesClean[[#This Row],[Net_Revenue_ZAR]]-(tblSalesClean[[#This Row],[Quantity]]*tblSalesClean[[#This Row],[Unit_Cost_ZAR]]))</f>
        <v>4900</v>
      </c>
    </row>
    <row r="16" spans="1:13" ht="13.5" x14ac:dyDescent="0.25">
      <c r="A16" s="1" t="s">
        <v>36</v>
      </c>
      <c r="B16" s="3">
        <v>45875</v>
      </c>
      <c r="C16" s="1" t="s">
        <v>17</v>
      </c>
      <c r="D16" s="1" t="s">
        <v>11</v>
      </c>
      <c r="E16" s="1" t="s">
        <v>12</v>
      </c>
      <c r="F16" s="1">
        <v>3</v>
      </c>
      <c r="G16" s="1">
        <v>1850</v>
      </c>
      <c r="H16" s="1">
        <v>1200</v>
      </c>
      <c r="I16" s="1">
        <v>0.1</v>
      </c>
      <c r="J16" s="8" t="str">
        <f>IF(OR(tblSalesClean[[#This Row],[Quantity]]="",tblSalesClean[[#This Row],[Discount_Pct]]=""),"Incomplete","Complete")</f>
        <v>Complete</v>
      </c>
      <c r="K16" s="30">
        <f>IF(OR(tblSalesClean[[#This Row],[Quantity]]="",tblSalesClean[[#This Row],[Unit_Price_ZAR]]=""),"",tblSalesClean[[#This Row],[Quantity]]*tblSalesClean[[#This Row],[Unit_Price_ZAR]])</f>
        <v>5550</v>
      </c>
      <c r="L16" s="30">
        <f>IF(OR(tblSalesClean[[#This Row],[Gross_Revenue_ZAR]]="",tblSalesClean[[#This Row],[Discount_Pct]]=""),"",tblSalesClean[[#This Row],[Gross_Revenue_ZAR]]*(1-tblSalesClean[[#This Row],[Discount_Pct]]))</f>
        <v>4995</v>
      </c>
      <c r="M16" s="30">
        <f>IF(OR(tblSalesClean[[#This Row],[Net_Revenue_ZAR]]="",tblSalesClean[[#This Row],[Quantity]]="",tblSalesClean[[#This Row],[Unit_Cost_ZAR]]=""),"",tblSalesClean[[#This Row],[Net_Revenue_ZAR]]-(tblSalesClean[[#This Row],[Quantity]]*tblSalesClean[[#This Row],[Unit_Cost_ZAR]]))</f>
        <v>1395</v>
      </c>
    </row>
    <row r="17" spans="1:13" ht="13.5" x14ac:dyDescent="0.25">
      <c r="A17" s="1" t="s">
        <v>37</v>
      </c>
      <c r="B17" s="3">
        <v>45665</v>
      </c>
      <c r="C17" s="1" t="s">
        <v>17</v>
      </c>
      <c r="D17" s="1" t="s">
        <v>18</v>
      </c>
      <c r="E17" s="1" t="s">
        <v>19</v>
      </c>
      <c r="F17" s="1">
        <v>3</v>
      </c>
      <c r="G17" s="1">
        <v>12500</v>
      </c>
      <c r="H17" s="1">
        <v>9400</v>
      </c>
      <c r="I17" s="1">
        <v>0</v>
      </c>
      <c r="J17" s="8" t="str">
        <f>IF(OR(tblSalesClean[[#This Row],[Quantity]]="",tblSalesClean[[#This Row],[Discount_Pct]]=""),"Incomplete","Complete")</f>
        <v>Complete</v>
      </c>
      <c r="K17" s="30">
        <f>IF(OR(tblSalesClean[[#This Row],[Quantity]]="",tblSalesClean[[#This Row],[Unit_Price_ZAR]]=""),"",tblSalesClean[[#This Row],[Quantity]]*tblSalesClean[[#This Row],[Unit_Price_ZAR]])</f>
        <v>37500</v>
      </c>
      <c r="L17" s="30">
        <f>IF(OR(tblSalesClean[[#This Row],[Gross_Revenue_ZAR]]="",tblSalesClean[[#This Row],[Discount_Pct]]=""),"",tblSalesClean[[#This Row],[Gross_Revenue_ZAR]]*(1-tblSalesClean[[#This Row],[Discount_Pct]]))</f>
        <v>37500</v>
      </c>
      <c r="M17" s="30">
        <f>IF(OR(tblSalesClean[[#This Row],[Net_Revenue_ZAR]]="",tblSalesClean[[#This Row],[Quantity]]="",tblSalesClean[[#This Row],[Unit_Cost_ZAR]]=""),"",tblSalesClean[[#This Row],[Net_Revenue_ZAR]]-(tblSalesClean[[#This Row],[Quantity]]*tblSalesClean[[#This Row],[Unit_Cost_ZAR]]))</f>
        <v>9300</v>
      </c>
    </row>
    <row r="18" spans="1:13" ht="13.5" x14ac:dyDescent="0.25">
      <c r="A18" s="1" t="s">
        <v>38</v>
      </c>
      <c r="B18" s="3">
        <v>45691</v>
      </c>
      <c r="C18" s="1" t="s">
        <v>27</v>
      </c>
      <c r="D18" s="1" t="s">
        <v>22</v>
      </c>
      <c r="E18" s="1" t="s">
        <v>19</v>
      </c>
      <c r="F18" s="1">
        <v>6</v>
      </c>
      <c r="G18" s="1">
        <v>650</v>
      </c>
      <c r="H18" s="1">
        <v>340</v>
      </c>
      <c r="I18" s="1">
        <v>0.15</v>
      </c>
      <c r="J18" s="8" t="str">
        <f>IF(OR(tblSalesClean[[#This Row],[Quantity]]="",tblSalesClean[[#This Row],[Discount_Pct]]=""),"Incomplete","Complete")</f>
        <v>Complete</v>
      </c>
      <c r="K18" s="30">
        <f>IF(OR(tblSalesClean[[#This Row],[Quantity]]="",tblSalesClean[[#This Row],[Unit_Price_ZAR]]=""),"",tblSalesClean[[#This Row],[Quantity]]*tblSalesClean[[#This Row],[Unit_Price_ZAR]])</f>
        <v>3900</v>
      </c>
      <c r="L18" s="30">
        <f>IF(OR(tblSalesClean[[#This Row],[Gross_Revenue_ZAR]]="",tblSalesClean[[#This Row],[Discount_Pct]]=""),"",tblSalesClean[[#This Row],[Gross_Revenue_ZAR]]*(1-tblSalesClean[[#This Row],[Discount_Pct]]))</f>
        <v>3315</v>
      </c>
      <c r="M18" s="30">
        <f>IF(OR(tblSalesClean[[#This Row],[Net_Revenue_ZAR]]="",tblSalesClean[[#This Row],[Quantity]]="",tblSalesClean[[#This Row],[Unit_Cost_ZAR]]=""),"",tblSalesClean[[#This Row],[Net_Revenue_ZAR]]-(tblSalesClean[[#This Row],[Quantity]]*tblSalesClean[[#This Row],[Unit_Cost_ZAR]]))</f>
        <v>1275</v>
      </c>
    </row>
    <row r="19" spans="1:13" ht="13.5" x14ac:dyDescent="0.25">
      <c r="A19" s="1" t="s">
        <v>39</v>
      </c>
      <c r="B19" s="3">
        <v>45996</v>
      </c>
      <c r="C19" s="1" t="s">
        <v>27</v>
      </c>
      <c r="D19" s="1" t="s">
        <v>25</v>
      </c>
      <c r="E19" s="1" t="s">
        <v>19</v>
      </c>
      <c r="F19" s="1">
        <v>4</v>
      </c>
      <c r="G19" s="1">
        <v>3400</v>
      </c>
      <c r="H19" s="1">
        <v>2300</v>
      </c>
      <c r="I19" s="1">
        <v>0.15</v>
      </c>
      <c r="J19" s="8" t="str">
        <f>IF(OR(tblSalesClean[[#This Row],[Quantity]]="",tblSalesClean[[#This Row],[Discount_Pct]]=""),"Incomplete","Complete")</f>
        <v>Complete</v>
      </c>
      <c r="K19" s="30">
        <f>IF(OR(tblSalesClean[[#This Row],[Quantity]]="",tblSalesClean[[#This Row],[Unit_Price_ZAR]]=""),"",tblSalesClean[[#This Row],[Quantity]]*tblSalesClean[[#This Row],[Unit_Price_ZAR]])</f>
        <v>13600</v>
      </c>
      <c r="L19" s="30">
        <f>IF(OR(tblSalesClean[[#This Row],[Gross_Revenue_ZAR]]="",tblSalesClean[[#This Row],[Discount_Pct]]=""),"",tblSalesClean[[#This Row],[Gross_Revenue_ZAR]]*(1-tblSalesClean[[#This Row],[Discount_Pct]]))</f>
        <v>11560</v>
      </c>
      <c r="M19" s="30">
        <f>IF(OR(tblSalesClean[[#This Row],[Net_Revenue_ZAR]]="",tblSalesClean[[#This Row],[Quantity]]="",tblSalesClean[[#This Row],[Unit_Cost_ZAR]]=""),"",tblSalesClean[[#This Row],[Net_Revenue_ZAR]]-(tblSalesClean[[#This Row],[Quantity]]*tblSalesClean[[#This Row],[Unit_Cost_ZAR]]))</f>
        <v>2360</v>
      </c>
    </row>
    <row r="20" spans="1:13" ht="13.5" x14ac:dyDescent="0.25">
      <c r="A20" s="1" t="s">
        <v>40</v>
      </c>
      <c r="B20" s="3">
        <v>45969</v>
      </c>
      <c r="C20" s="1" t="s">
        <v>17</v>
      </c>
      <c r="D20" s="1" t="s">
        <v>25</v>
      </c>
      <c r="E20" s="1" t="s">
        <v>19</v>
      </c>
      <c r="F20" s="1">
        <v>5</v>
      </c>
      <c r="G20" s="1">
        <v>3400</v>
      </c>
      <c r="H20" s="1">
        <v>2300</v>
      </c>
      <c r="I20" s="1">
        <v>0</v>
      </c>
      <c r="J20" s="8" t="str">
        <f>IF(OR(tblSalesClean[[#This Row],[Quantity]]="",tblSalesClean[[#This Row],[Discount_Pct]]=""),"Incomplete","Complete")</f>
        <v>Complete</v>
      </c>
      <c r="K20" s="30">
        <f>IF(OR(tblSalesClean[[#This Row],[Quantity]]="",tblSalesClean[[#This Row],[Unit_Price_ZAR]]=""),"",tblSalesClean[[#This Row],[Quantity]]*tblSalesClean[[#This Row],[Unit_Price_ZAR]])</f>
        <v>17000</v>
      </c>
      <c r="L20" s="30">
        <f>IF(OR(tblSalesClean[[#This Row],[Gross_Revenue_ZAR]]="",tblSalesClean[[#This Row],[Discount_Pct]]=""),"",tblSalesClean[[#This Row],[Gross_Revenue_ZAR]]*(1-tblSalesClean[[#This Row],[Discount_Pct]]))</f>
        <v>17000</v>
      </c>
      <c r="M20" s="30">
        <f>IF(OR(tblSalesClean[[#This Row],[Net_Revenue_ZAR]]="",tblSalesClean[[#This Row],[Quantity]]="",tblSalesClean[[#This Row],[Unit_Cost_ZAR]]=""),"",tblSalesClean[[#This Row],[Net_Revenue_ZAR]]-(tblSalesClean[[#This Row],[Quantity]]*tblSalesClean[[#This Row],[Unit_Cost_ZAR]]))</f>
        <v>5500</v>
      </c>
    </row>
    <row r="21" spans="1:13" ht="13.5" x14ac:dyDescent="0.25">
      <c r="A21" s="1" t="s">
        <v>41</v>
      </c>
      <c r="B21" s="3">
        <v>45770</v>
      </c>
      <c r="C21" s="1" t="s">
        <v>17</v>
      </c>
      <c r="D21" s="1" t="s">
        <v>28</v>
      </c>
      <c r="E21" s="1" t="s">
        <v>15</v>
      </c>
      <c r="F21" s="1">
        <v>6</v>
      </c>
      <c r="G21" s="1">
        <v>2800</v>
      </c>
      <c r="H21" s="1">
        <v>1900</v>
      </c>
      <c r="I21" s="1">
        <v>0.05</v>
      </c>
      <c r="J21" s="8" t="str">
        <f>IF(OR(tblSalesClean[[#This Row],[Quantity]]="",tblSalesClean[[#This Row],[Discount_Pct]]=""),"Incomplete","Complete")</f>
        <v>Complete</v>
      </c>
      <c r="K21" s="30">
        <f>IF(OR(tblSalesClean[[#This Row],[Quantity]]="",tblSalesClean[[#This Row],[Unit_Price_ZAR]]=""),"",tblSalesClean[[#This Row],[Quantity]]*tblSalesClean[[#This Row],[Unit_Price_ZAR]])</f>
        <v>16800</v>
      </c>
      <c r="L21" s="30">
        <f>IF(OR(tblSalesClean[[#This Row],[Gross_Revenue_ZAR]]="",tblSalesClean[[#This Row],[Discount_Pct]]=""),"",tblSalesClean[[#This Row],[Gross_Revenue_ZAR]]*(1-tblSalesClean[[#This Row],[Discount_Pct]]))</f>
        <v>15960</v>
      </c>
      <c r="M21" s="30">
        <f>IF(OR(tblSalesClean[[#This Row],[Net_Revenue_ZAR]]="",tblSalesClean[[#This Row],[Quantity]]="",tblSalesClean[[#This Row],[Unit_Cost_ZAR]]=""),"",tblSalesClean[[#This Row],[Net_Revenue_ZAR]]-(tblSalesClean[[#This Row],[Quantity]]*tblSalesClean[[#This Row],[Unit_Cost_ZAR]]))</f>
        <v>4560</v>
      </c>
    </row>
    <row r="22" spans="1:13" ht="13.5" x14ac:dyDescent="0.25">
      <c r="A22" s="1" t="s">
        <v>42</v>
      </c>
      <c r="B22" s="3">
        <v>45888</v>
      </c>
      <c r="C22" s="1" t="s">
        <v>10</v>
      </c>
      <c r="D22" s="1" t="s">
        <v>11</v>
      </c>
      <c r="E22" s="1" t="s">
        <v>12</v>
      </c>
      <c r="F22" s="1">
        <v>6</v>
      </c>
      <c r="G22" s="1">
        <v>1850</v>
      </c>
      <c r="H22" s="1">
        <v>1200</v>
      </c>
      <c r="I22" s="1">
        <v>0</v>
      </c>
      <c r="J22" s="8" t="str">
        <f>IF(OR(tblSalesClean[[#This Row],[Quantity]]="",tblSalesClean[[#This Row],[Discount_Pct]]=""),"Incomplete","Complete")</f>
        <v>Complete</v>
      </c>
      <c r="K22" s="30">
        <f>IF(OR(tblSalesClean[[#This Row],[Quantity]]="",tblSalesClean[[#This Row],[Unit_Price_ZAR]]=""),"",tblSalesClean[[#This Row],[Quantity]]*tblSalesClean[[#This Row],[Unit_Price_ZAR]])</f>
        <v>11100</v>
      </c>
      <c r="L22" s="30">
        <f>IF(OR(tblSalesClean[[#This Row],[Gross_Revenue_ZAR]]="",tblSalesClean[[#This Row],[Discount_Pct]]=""),"",tblSalesClean[[#This Row],[Gross_Revenue_ZAR]]*(1-tblSalesClean[[#This Row],[Discount_Pct]]))</f>
        <v>11100</v>
      </c>
      <c r="M22" s="30">
        <f>IF(OR(tblSalesClean[[#This Row],[Net_Revenue_ZAR]]="",tblSalesClean[[#This Row],[Quantity]]="",tblSalesClean[[#This Row],[Unit_Cost_ZAR]]=""),"",tblSalesClean[[#This Row],[Net_Revenue_ZAR]]-(tblSalesClean[[#This Row],[Quantity]]*tblSalesClean[[#This Row],[Unit_Cost_ZAR]]))</f>
        <v>3900</v>
      </c>
    </row>
    <row r="23" spans="1:13" ht="13.5" x14ac:dyDescent="0.25">
      <c r="A23" s="1" t="s">
        <v>43</v>
      </c>
      <c r="B23" s="3">
        <v>45766</v>
      </c>
      <c r="C23" s="1" t="s">
        <v>21</v>
      </c>
      <c r="D23" s="1" t="s">
        <v>44</v>
      </c>
      <c r="E23" s="1" t="s">
        <v>12</v>
      </c>
      <c r="F23" s="1">
        <v>2</v>
      </c>
      <c r="G23" s="1">
        <v>1100</v>
      </c>
      <c r="H23" s="1">
        <v>650</v>
      </c>
      <c r="I23" s="1">
        <v>0</v>
      </c>
      <c r="J23" s="8" t="str">
        <f>IF(OR(tblSalesClean[[#This Row],[Quantity]]="",tblSalesClean[[#This Row],[Discount_Pct]]=""),"Incomplete","Complete")</f>
        <v>Complete</v>
      </c>
      <c r="K23" s="30">
        <f>IF(OR(tblSalesClean[[#This Row],[Quantity]]="",tblSalesClean[[#This Row],[Unit_Price_ZAR]]=""),"",tblSalesClean[[#This Row],[Quantity]]*tblSalesClean[[#This Row],[Unit_Price_ZAR]])</f>
        <v>2200</v>
      </c>
      <c r="L23" s="30">
        <f>IF(OR(tblSalesClean[[#This Row],[Gross_Revenue_ZAR]]="",tblSalesClean[[#This Row],[Discount_Pct]]=""),"",tblSalesClean[[#This Row],[Gross_Revenue_ZAR]]*(1-tblSalesClean[[#This Row],[Discount_Pct]]))</f>
        <v>2200</v>
      </c>
      <c r="M23" s="30">
        <f>IF(OR(tblSalesClean[[#This Row],[Net_Revenue_ZAR]]="",tblSalesClean[[#This Row],[Quantity]]="",tblSalesClean[[#This Row],[Unit_Cost_ZAR]]=""),"",tblSalesClean[[#This Row],[Net_Revenue_ZAR]]-(tblSalesClean[[#This Row],[Quantity]]*tblSalesClean[[#This Row],[Unit_Cost_ZAR]]))</f>
        <v>900</v>
      </c>
    </row>
    <row r="24" spans="1:13" ht="13.5" x14ac:dyDescent="0.25">
      <c r="A24" s="1" t="s">
        <v>45</v>
      </c>
      <c r="B24" s="3">
        <v>46018</v>
      </c>
      <c r="C24" s="8" t="s">
        <v>10</v>
      </c>
      <c r="D24" s="1" t="s">
        <v>11</v>
      </c>
      <c r="E24" s="1" t="s">
        <v>12</v>
      </c>
      <c r="F24" s="1">
        <v>5</v>
      </c>
      <c r="G24" s="1">
        <v>1850</v>
      </c>
      <c r="H24" s="1">
        <v>1200</v>
      </c>
      <c r="I24" s="1">
        <v>0.05</v>
      </c>
      <c r="J24" s="8" t="str">
        <f>IF(OR(tblSalesClean[[#This Row],[Quantity]]="",tblSalesClean[[#This Row],[Discount_Pct]]=""),"Incomplete","Complete")</f>
        <v>Complete</v>
      </c>
      <c r="K24" s="30">
        <f>IF(OR(tblSalesClean[[#This Row],[Quantity]]="",tblSalesClean[[#This Row],[Unit_Price_ZAR]]=""),"",tblSalesClean[[#This Row],[Quantity]]*tblSalesClean[[#This Row],[Unit_Price_ZAR]])</f>
        <v>9250</v>
      </c>
      <c r="L24" s="30">
        <f>IF(OR(tblSalesClean[[#This Row],[Gross_Revenue_ZAR]]="",tblSalesClean[[#This Row],[Discount_Pct]]=""),"",tblSalesClean[[#This Row],[Gross_Revenue_ZAR]]*(1-tblSalesClean[[#This Row],[Discount_Pct]]))</f>
        <v>8787.5</v>
      </c>
      <c r="M24" s="30">
        <f>IF(OR(tblSalesClean[[#This Row],[Net_Revenue_ZAR]]="",tblSalesClean[[#This Row],[Quantity]]="",tblSalesClean[[#This Row],[Unit_Cost_ZAR]]=""),"",tblSalesClean[[#This Row],[Net_Revenue_ZAR]]-(tblSalesClean[[#This Row],[Quantity]]*tblSalesClean[[#This Row],[Unit_Cost_ZAR]]))</f>
        <v>2787.5</v>
      </c>
    </row>
    <row r="25" spans="1:13" ht="13.5" x14ac:dyDescent="0.25">
      <c r="A25" s="1" t="s">
        <v>47</v>
      </c>
      <c r="B25" s="3">
        <v>45883</v>
      </c>
      <c r="C25" s="1" t="s">
        <v>27</v>
      </c>
      <c r="D25" s="1" t="s">
        <v>14</v>
      </c>
      <c r="E25" s="1" t="s">
        <v>15</v>
      </c>
      <c r="F25" s="1">
        <v>2</v>
      </c>
      <c r="G25" s="1">
        <v>2100</v>
      </c>
      <c r="H25" s="1">
        <v>1350</v>
      </c>
      <c r="I25" s="1">
        <v>0.1</v>
      </c>
      <c r="J25" s="8" t="str">
        <f>IF(OR(tblSalesClean[[#This Row],[Quantity]]="",tblSalesClean[[#This Row],[Discount_Pct]]=""),"Incomplete","Complete")</f>
        <v>Complete</v>
      </c>
      <c r="K25" s="30">
        <f>IF(OR(tblSalesClean[[#This Row],[Quantity]]="",tblSalesClean[[#This Row],[Unit_Price_ZAR]]=""),"",tblSalesClean[[#This Row],[Quantity]]*tblSalesClean[[#This Row],[Unit_Price_ZAR]])</f>
        <v>4200</v>
      </c>
      <c r="L25" s="30">
        <f>IF(OR(tblSalesClean[[#This Row],[Gross_Revenue_ZAR]]="",tblSalesClean[[#This Row],[Discount_Pct]]=""),"",tblSalesClean[[#This Row],[Gross_Revenue_ZAR]]*(1-tblSalesClean[[#This Row],[Discount_Pct]]))</f>
        <v>3780</v>
      </c>
      <c r="M25" s="30">
        <f>IF(OR(tblSalesClean[[#This Row],[Net_Revenue_ZAR]]="",tblSalesClean[[#This Row],[Quantity]]="",tblSalesClean[[#This Row],[Unit_Cost_ZAR]]=""),"",tblSalesClean[[#This Row],[Net_Revenue_ZAR]]-(tblSalesClean[[#This Row],[Quantity]]*tblSalesClean[[#This Row],[Unit_Cost_ZAR]]))</f>
        <v>1080</v>
      </c>
    </row>
    <row r="26" spans="1:13" ht="13.5" x14ac:dyDescent="0.25">
      <c r="A26" s="1" t="s">
        <v>48</v>
      </c>
      <c r="B26" s="3">
        <v>45767</v>
      </c>
      <c r="C26" s="1" t="s">
        <v>10</v>
      </c>
      <c r="D26" s="1" t="s">
        <v>22</v>
      </c>
      <c r="E26" s="1" t="s">
        <v>19</v>
      </c>
      <c r="F26" s="1">
        <v>2</v>
      </c>
      <c r="G26" s="1">
        <v>650</v>
      </c>
      <c r="H26" s="1">
        <v>340</v>
      </c>
      <c r="I26" s="1">
        <v>0.05</v>
      </c>
      <c r="J26" s="8" t="str">
        <f>IF(OR(tblSalesClean[[#This Row],[Quantity]]="",tblSalesClean[[#This Row],[Discount_Pct]]=""),"Incomplete","Complete")</f>
        <v>Complete</v>
      </c>
      <c r="K26" s="30">
        <f>IF(OR(tblSalesClean[[#This Row],[Quantity]]="",tblSalesClean[[#This Row],[Unit_Price_ZAR]]=""),"",tblSalesClean[[#This Row],[Quantity]]*tblSalesClean[[#This Row],[Unit_Price_ZAR]])</f>
        <v>1300</v>
      </c>
      <c r="L26" s="30">
        <f>IF(OR(tblSalesClean[[#This Row],[Gross_Revenue_ZAR]]="",tblSalesClean[[#This Row],[Discount_Pct]]=""),"",tblSalesClean[[#This Row],[Gross_Revenue_ZAR]]*(1-tblSalesClean[[#This Row],[Discount_Pct]]))</f>
        <v>1235</v>
      </c>
      <c r="M26" s="30">
        <f>IF(OR(tblSalesClean[[#This Row],[Net_Revenue_ZAR]]="",tblSalesClean[[#This Row],[Quantity]]="",tblSalesClean[[#This Row],[Unit_Cost_ZAR]]=""),"",tblSalesClean[[#This Row],[Net_Revenue_ZAR]]-(tblSalesClean[[#This Row],[Quantity]]*tblSalesClean[[#This Row],[Unit_Cost_ZAR]]))</f>
        <v>555</v>
      </c>
    </row>
    <row r="27" spans="1:13" ht="13.5" x14ac:dyDescent="0.25">
      <c r="A27" s="1" t="s">
        <v>49</v>
      </c>
      <c r="B27" s="3">
        <v>45690</v>
      </c>
      <c r="C27" s="1" t="s">
        <v>21</v>
      </c>
      <c r="D27" s="1" t="s">
        <v>28</v>
      </c>
      <c r="E27" s="1" t="s">
        <v>15</v>
      </c>
      <c r="F27" s="1">
        <v>5</v>
      </c>
      <c r="G27" s="1">
        <v>2800</v>
      </c>
      <c r="H27" s="1">
        <v>1900</v>
      </c>
      <c r="I27" s="1">
        <v>0.1</v>
      </c>
      <c r="J27" s="8" t="str">
        <f>IF(OR(tblSalesClean[[#This Row],[Quantity]]="",tblSalesClean[[#This Row],[Discount_Pct]]=""),"Incomplete","Complete")</f>
        <v>Complete</v>
      </c>
      <c r="K27" s="30">
        <f>IF(OR(tblSalesClean[[#This Row],[Quantity]]="",tblSalesClean[[#This Row],[Unit_Price_ZAR]]=""),"",tblSalesClean[[#This Row],[Quantity]]*tblSalesClean[[#This Row],[Unit_Price_ZAR]])</f>
        <v>14000</v>
      </c>
      <c r="L27" s="30">
        <f>IF(OR(tblSalesClean[[#This Row],[Gross_Revenue_ZAR]]="",tblSalesClean[[#This Row],[Discount_Pct]]=""),"",tblSalesClean[[#This Row],[Gross_Revenue_ZAR]]*(1-tblSalesClean[[#This Row],[Discount_Pct]]))</f>
        <v>12600</v>
      </c>
      <c r="M27" s="30">
        <f>IF(OR(tblSalesClean[[#This Row],[Net_Revenue_ZAR]]="",tblSalesClean[[#This Row],[Quantity]]="",tblSalesClean[[#This Row],[Unit_Cost_ZAR]]=""),"",tblSalesClean[[#This Row],[Net_Revenue_ZAR]]-(tblSalesClean[[#This Row],[Quantity]]*tblSalesClean[[#This Row],[Unit_Cost_ZAR]]))</f>
        <v>3100</v>
      </c>
    </row>
    <row r="28" spans="1:13" ht="13.5" x14ac:dyDescent="0.25">
      <c r="A28" s="1" t="s">
        <v>50</v>
      </c>
      <c r="B28" s="3">
        <v>45910</v>
      </c>
      <c r="C28" s="1" t="s">
        <v>10</v>
      </c>
      <c r="D28" s="1" t="s">
        <v>22</v>
      </c>
      <c r="E28" s="1" t="s">
        <v>19</v>
      </c>
      <c r="F28" s="1">
        <v>2</v>
      </c>
      <c r="G28" s="1">
        <v>650</v>
      </c>
      <c r="H28" s="1">
        <v>340</v>
      </c>
      <c r="I28" s="1">
        <v>0.05</v>
      </c>
      <c r="J28" s="8" t="str">
        <f>IF(OR(tblSalesClean[[#This Row],[Quantity]]="",tblSalesClean[[#This Row],[Discount_Pct]]=""),"Incomplete","Complete")</f>
        <v>Complete</v>
      </c>
      <c r="K28" s="30">
        <f>IF(OR(tblSalesClean[[#This Row],[Quantity]]="",tblSalesClean[[#This Row],[Unit_Price_ZAR]]=""),"",tblSalesClean[[#This Row],[Quantity]]*tblSalesClean[[#This Row],[Unit_Price_ZAR]])</f>
        <v>1300</v>
      </c>
      <c r="L28" s="30">
        <f>IF(OR(tblSalesClean[[#This Row],[Gross_Revenue_ZAR]]="",tblSalesClean[[#This Row],[Discount_Pct]]=""),"",tblSalesClean[[#This Row],[Gross_Revenue_ZAR]]*(1-tblSalesClean[[#This Row],[Discount_Pct]]))</f>
        <v>1235</v>
      </c>
      <c r="M28" s="30">
        <f>IF(OR(tblSalesClean[[#This Row],[Net_Revenue_ZAR]]="",tblSalesClean[[#This Row],[Quantity]]="",tblSalesClean[[#This Row],[Unit_Cost_ZAR]]=""),"",tblSalesClean[[#This Row],[Net_Revenue_ZAR]]-(tblSalesClean[[#This Row],[Quantity]]*tblSalesClean[[#This Row],[Unit_Cost_ZAR]]))</f>
        <v>555</v>
      </c>
    </row>
    <row r="29" spans="1:13" ht="13.5" x14ac:dyDescent="0.25">
      <c r="A29" s="1" t="s">
        <v>51</v>
      </c>
      <c r="B29" s="3">
        <v>45886</v>
      </c>
      <c r="C29" s="1" t="s">
        <v>17</v>
      </c>
      <c r="D29" s="1" t="s">
        <v>25</v>
      </c>
      <c r="E29" s="1" t="s">
        <v>19</v>
      </c>
      <c r="F29" s="1">
        <v>6</v>
      </c>
      <c r="G29" s="1">
        <v>3400</v>
      </c>
      <c r="H29" s="1">
        <v>2300</v>
      </c>
      <c r="I29" s="1">
        <v>0</v>
      </c>
      <c r="J29" s="8" t="str">
        <f>IF(OR(tblSalesClean[[#This Row],[Quantity]]="",tblSalesClean[[#This Row],[Discount_Pct]]=""),"Incomplete","Complete")</f>
        <v>Complete</v>
      </c>
      <c r="K29" s="30">
        <f>IF(OR(tblSalesClean[[#This Row],[Quantity]]="",tblSalesClean[[#This Row],[Unit_Price_ZAR]]=""),"",tblSalesClean[[#This Row],[Quantity]]*tblSalesClean[[#This Row],[Unit_Price_ZAR]])</f>
        <v>20400</v>
      </c>
      <c r="L29" s="30">
        <f>IF(OR(tblSalesClean[[#This Row],[Gross_Revenue_ZAR]]="",tblSalesClean[[#This Row],[Discount_Pct]]=""),"",tblSalesClean[[#This Row],[Gross_Revenue_ZAR]]*(1-tblSalesClean[[#This Row],[Discount_Pct]]))</f>
        <v>20400</v>
      </c>
      <c r="M29" s="30">
        <f>IF(OR(tblSalesClean[[#This Row],[Net_Revenue_ZAR]]="",tblSalesClean[[#This Row],[Quantity]]="",tblSalesClean[[#This Row],[Unit_Cost_ZAR]]=""),"",tblSalesClean[[#This Row],[Net_Revenue_ZAR]]-(tblSalesClean[[#This Row],[Quantity]]*tblSalesClean[[#This Row],[Unit_Cost_ZAR]]))</f>
        <v>6600</v>
      </c>
    </row>
    <row r="30" spans="1:13" ht="13.5" x14ac:dyDescent="0.25">
      <c r="A30" s="1" t="s">
        <v>52</v>
      </c>
      <c r="B30" s="3">
        <v>45912</v>
      </c>
      <c r="C30" s="1" t="s">
        <v>10</v>
      </c>
      <c r="D30" s="1" t="s">
        <v>44</v>
      </c>
      <c r="E30" s="1" t="s">
        <v>12</v>
      </c>
      <c r="F30" s="1">
        <v>3</v>
      </c>
      <c r="G30" s="1">
        <v>1100</v>
      </c>
      <c r="H30" s="1">
        <v>650</v>
      </c>
      <c r="I30" s="1">
        <v>0</v>
      </c>
      <c r="J30" s="8" t="str">
        <f>IF(OR(tblSalesClean[[#This Row],[Quantity]]="",tblSalesClean[[#This Row],[Discount_Pct]]=""),"Incomplete","Complete")</f>
        <v>Complete</v>
      </c>
      <c r="K30" s="30">
        <f>IF(OR(tblSalesClean[[#This Row],[Quantity]]="",tblSalesClean[[#This Row],[Unit_Price_ZAR]]=""),"",tblSalesClean[[#This Row],[Quantity]]*tblSalesClean[[#This Row],[Unit_Price_ZAR]])</f>
        <v>3300</v>
      </c>
      <c r="L30" s="30">
        <f>IF(OR(tblSalesClean[[#This Row],[Gross_Revenue_ZAR]]="",tblSalesClean[[#This Row],[Discount_Pct]]=""),"",tblSalesClean[[#This Row],[Gross_Revenue_ZAR]]*(1-tblSalesClean[[#This Row],[Discount_Pct]]))</f>
        <v>3300</v>
      </c>
      <c r="M30" s="30">
        <f>IF(OR(tblSalesClean[[#This Row],[Net_Revenue_ZAR]]="",tblSalesClean[[#This Row],[Quantity]]="",tblSalesClean[[#This Row],[Unit_Cost_ZAR]]=""),"",tblSalesClean[[#This Row],[Net_Revenue_ZAR]]-(tblSalesClean[[#This Row],[Quantity]]*tblSalesClean[[#This Row],[Unit_Cost_ZAR]]))</f>
        <v>1350</v>
      </c>
    </row>
    <row r="31" spans="1:13" ht="13.5" x14ac:dyDescent="0.25">
      <c r="A31" s="1" t="s">
        <v>53</v>
      </c>
      <c r="B31" s="3">
        <v>45673</v>
      </c>
      <c r="C31" s="1" t="s">
        <v>10</v>
      </c>
      <c r="D31" s="1" t="s">
        <v>54</v>
      </c>
      <c r="E31" s="1" t="s">
        <v>15</v>
      </c>
      <c r="F31" s="1">
        <v>6</v>
      </c>
      <c r="G31" s="1">
        <v>3900</v>
      </c>
      <c r="H31" s="1">
        <v>2700</v>
      </c>
      <c r="I31" s="1">
        <v>0</v>
      </c>
      <c r="J31" s="8" t="str">
        <f>IF(OR(tblSalesClean[[#This Row],[Quantity]]="",tblSalesClean[[#This Row],[Discount_Pct]]=""),"Incomplete","Complete")</f>
        <v>Complete</v>
      </c>
      <c r="K31" s="30">
        <f>IF(OR(tblSalesClean[[#This Row],[Quantity]]="",tblSalesClean[[#This Row],[Unit_Price_ZAR]]=""),"",tblSalesClean[[#This Row],[Quantity]]*tblSalesClean[[#This Row],[Unit_Price_ZAR]])</f>
        <v>23400</v>
      </c>
      <c r="L31" s="30">
        <f>IF(OR(tblSalesClean[[#This Row],[Gross_Revenue_ZAR]]="",tblSalesClean[[#This Row],[Discount_Pct]]=""),"",tblSalesClean[[#This Row],[Gross_Revenue_ZAR]]*(1-tblSalesClean[[#This Row],[Discount_Pct]]))</f>
        <v>23400</v>
      </c>
      <c r="M31" s="30">
        <f>IF(OR(tblSalesClean[[#This Row],[Net_Revenue_ZAR]]="",tblSalesClean[[#This Row],[Quantity]]="",tblSalesClean[[#This Row],[Unit_Cost_ZAR]]=""),"",tblSalesClean[[#This Row],[Net_Revenue_ZAR]]-(tblSalesClean[[#This Row],[Quantity]]*tblSalesClean[[#This Row],[Unit_Cost_ZAR]]))</f>
        <v>7200</v>
      </c>
    </row>
    <row r="32" spans="1:13" ht="13.5" x14ac:dyDescent="0.25">
      <c r="A32" s="1" t="s">
        <v>55</v>
      </c>
      <c r="B32" s="3">
        <v>45920</v>
      </c>
      <c r="C32" s="1" t="s">
        <v>17</v>
      </c>
      <c r="D32" s="1" t="s">
        <v>22</v>
      </c>
      <c r="E32" s="1" t="s">
        <v>19</v>
      </c>
      <c r="F32" s="1">
        <v>2</v>
      </c>
      <c r="G32" s="1">
        <v>650</v>
      </c>
      <c r="H32" s="1">
        <v>340</v>
      </c>
      <c r="I32" s="1">
        <v>0.05</v>
      </c>
      <c r="J32" s="8" t="str">
        <f>IF(OR(tblSalesClean[[#This Row],[Quantity]]="",tblSalesClean[[#This Row],[Discount_Pct]]=""),"Incomplete","Complete")</f>
        <v>Complete</v>
      </c>
      <c r="K32" s="30">
        <f>IF(OR(tblSalesClean[[#This Row],[Quantity]]="",tblSalesClean[[#This Row],[Unit_Price_ZAR]]=""),"",tblSalesClean[[#This Row],[Quantity]]*tblSalesClean[[#This Row],[Unit_Price_ZAR]])</f>
        <v>1300</v>
      </c>
      <c r="L32" s="30">
        <f>IF(OR(tblSalesClean[[#This Row],[Gross_Revenue_ZAR]]="",tblSalesClean[[#This Row],[Discount_Pct]]=""),"",tblSalesClean[[#This Row],[Gross_Revenue_ZAR]]*(1-tblSalesClean[[#This Row],[Discount_Pct]]))</f>
        <v>1235</v>
      </c>
      <c r="M32" s="30">
        <f>IF(OR(tblSalesClean[[#This Row],[Net_Revenue_ZAR]]="",tblSalesClean[[#This Row],[Quantity]]="",tblSalesClean[[#This Row],[Unit_Cost_ZAR]]=""),"",tblSalesClean[[#This Row],[Net_Revenue_ZAR]]-(tblSalesClean[[#This Row],[Quantity]]*tblSalesClean[[#This Row],[Unit_Cost_ZAR]]))</f>
        <v>555</v>
      </c>
    </row>
    <row r="33" spans="1:13" ht="13.5" x14ac:dyDescent="0.25">
      <c r="A33" s="1" t="s">
        <v>56</v>
      </c>
      <c r="B33" s="3">
        <v>45679</v>
      </c>
      <c r="C33" s="1" t="s">
        <v>17</v>
      </c>
      <c r="D33" s="1" t="s">
        <v>25</v>
      </c>
      <c r="E33" s="1" t="s">
        <v>19</v>
      </c>
      <c r="F33" s="1">
        <v>5</v>
      </c>
      <c r="G33" s="1">
        <v>3400</v>
      </c>
      <c r="H33" s="1">
        <v>2300</v>
      </c>
      <c r="I33" s="1">
        <v>0.15</v>
      </c>
      <c r="J33" s="8" t="str">
        <f>IF(OR(tblSalesClean[[#This Row],[Quantity]]="",tblSalesClean[[#This Row],[Discount_Pct]]=""),"Incomplete","Complete")</f>
        <v>Complete</v>
      </c>
      <c r="K33" s="30">
        <f>IF(OR(tblSalesClean[[#This Row],[Quantity]]="",tblSalesClean[[#This Row],[Unit_Price_ZAR]]=""),"",tblSalesClean[[#This Row],[Quantity]]*tblSalesClean[[#This Row],[Unit_Price_ZAR]])</f>
        <v>17000</v>
      </c>
      <c r="L33" s="30">
        <f>IF(OR(tblSalesClean[[#This Row],[Gross_Revenue_ZAR]]="",tblSalesClean[[#This Row],[Discount_Pct]]=""),"",tblSalesClean[[#This Row],[Gross_Revenue_ZAR]]*(1-tblSalesClean[[#This Row],[Discount_Pct]]))</f>
        <v>14450</v>
      </c>
      <c r="M33" s="30">
        <f>IF(OR(tblSalesClean[[#This Row],[Net_Revenue_ZAR]]="",tblSalesClean[[#This Row],[Quantity]]="",tblSalesClean[[#This Row],[Unit_Cost_ZAR]]=""),"",tblSalesClean[[#This Row],[Net_Revenue_ZAR]]-(tblSalesClean[[#This Row],[Quantity]]*tblSalesClean[[#This Row],[Unit_Cost_ZAR]]))</f>
        <v>2950</v>
      </c>
    </row>
    <row r="34" spans="1:13" ht="13.5" x14ac:dyDescent="0.25">
      <c r="A34" s="1" t="s">
        <v>57</v>
      </c>
      <c r="B34" s="3">
        <v>45767</v>
      </c>
      <c r="C34" s="1" t="s">
        <v>17</v>
      </c>
      <c r="D34" s="1" t="s">
        <v>54</v>
      </c>
      <c r="E34" s="1" t="s">
        <v>15</v>
      </c>
      <c r="F34" s="1">
        <v>3</v>
      </c>
      <c r="G34" s="1">
        <v>3900</v>
      </c>
      <c r="H34" s="1">
        <v>2700</v>
      </c>
      <c r="I34" s="1">
        <v>0</v>
      </c>
      <c r="J34" s="8" t="str">
        <f>IF(OR(tblSalesClean[[#This Row],[Quantity]]="",tblSalesClean[[#This Row],[Discount_Pct]]=""),"Incomplete","Complete")</f>
        <v>Complete</v>
      </c>
      <c r="K34" s="30">
        <f>IF(OR(tblSalesClean[[#This Row],[Quantity]]="",tblSalesClean[[#This Row],[Unit_Price_ZAR]]=""),"",tblSalesClean[[#This Row],[Quantity]]*tblSalesClean[[#This Row],[Unit_Price_ZAR]])</f>
        <v>11700</v>
      </c>
      <c r="L34" s="30">
        <f>IF(OR(tblSalesClean[[#This Row],[Gross_Revenue_ZAR]]="",tblSalesClean[[#This Row],[Discount_Pct]]=""),"",tblSalesClean[[#This Row],[Gross_Revenue_ZAR]]*(1-tblSalesClean[[#This Row],[Discount_Pct]]))</f>
        <v>11700</v>
      </c>
      <c r="M34" s="30">
        <f>IF(OR(tblSalesClean[[#This Row],[Net_Revenue_ZAR]]="",tblSalesClean[[#This Row],[Quantity]]="",tblSalesClean[[#This Row],[Unit_Cost_ZAR]]=""),"",tblSalesClean[[#This Row],[Net_Revenue_ZAR]]-(tblSalesClean[[#This Row],[Quantity]]*tblSalesClean[[#This Row],[Unit_Cost_ZAR]]))</f>
        <v>3600</v>
      </c>
    </row>
    <row r="35" spans="1:13" ht="13.5" x14ac:dyDescent="0.25">
      <c r="A35" s="1" t="s">
        <v>58</v>
      </c>
      <c r="B35" s="3">
        <v>45790</v>
      </c>
      <c r="C35" s="1" t="s">
        <v>27</v>
      </c>
      <c r="D35" s="1" t="s">
        <v>22</v>
      </c>
      <c r="E35" s="1" t="s">
        <v>19</v>
      </c>
      <c r="F35" s="1">
        <v>5</v>
      </c>
      <c r="G35" s="1">
        <v>650</v>
      </c>
      <c r="H35" s="1">
        <v>340</v>
      </c>
      <c r="I35" s="1">
        <v>0</v>
      </c>
      <c r="J35" s="8" t="str">
        <f>IF(OR(tblSalesClean[[#This Row],[Quantity]]="",tblSalesClean[[#This Row],[Discount_Pct]]=""),"Incomplete","Complete")</f>
        <v>Complete</v>
      </c>
      <c r="K35" s="30">
        <f>IF(OR(tblSalesClean[[#This Row],[Quantity]]="",tblSalesClean[[#This Row],[Unit_Price_ZAR]]=""),"",tblSalesClean[[#This Row],[Quantity]]*tblSalesClean[[#This Row],[Unit_Price_ZAR]])</f>
        <v>3250</v>
      </c>
      <c r="L35" s="30">
        <f>IF(OR(tblSalesClean[[#This Row],[Gross_Revenue_ZAR]]="",tblSalesClean[[#This Row],[Discount_Pct]]=""),"",tblSalesClean[[#This Row],[Gross_Revenue_ZAR]]*(1-tblSalesClean[[#This Row],[Discount_Pct]]))</f>
        <v>3250</v>
      </c>
      <c r="M35" s="30">
        <f>IF(OR(tblSalesClean[[#This Row],[Net_Revenue_ZAR]]="",tblSalesClean[[#This Row],[Quantity]]="",tblSalesClean[[#This Row],[Unit_Cost_ZAR]]=""),"",tblSalesClean[[#This Row],[Net_Revenue_ZAR]]-(tblSalesClean[[#This Row],[Quantity]]*tblSalesClean[[#This Row],[Unit_Cost_ZAR]]))</f>
        <v>1550</v>
      </c>
    </row>
    <row r="36" spans="1:13" ht="13.5" x14ac:dyDescent="0.25">
      <c r="A36" s="1" t="s">
        <v>59</v>
      </c>
      <c r="B36" s="3">
        <v>46019</v>
      </c>
      <c r="C36" s="1" t="s">
        <v>10</v>
      </c>
      <c r="D36" s="1" t="s">
        <v>25</v>
      </c>
      <c r="E36" s="1" t="s">
        <v>19</v>
      </c>
      <c r="F36" s="1">
        <v>5</v>
      </c>
      <c r="G36" s="1">
        <v>3400</v>
      </c>
      <c r="H36" s="1">
        <v>2300</v>
      </c>
      <c r="I36" s="1">
        <v>0.05</v>
      </c>
      <c r="J36" s="8" t="str">
        <f>IF(OR(tblSalesClean[[#This Row],[Quantity]]="",tblSalesClean[[#This Row],[Discount_Pct]]=""),"Incomplete","Complete")</f>
        <v>Complete</v>
      </c>
      <c r="K36" s="30">
        <f>IF(OR(tblSalesClean[[#This Row],[Quantity]]="",tblSalesClean[[#This Row],[Unit_Price_ZAR]]=""),"",tblSalesClean[[#This Row],[Quantity]]*tblSalesClean[[#This Row],[Unit_Price_ZAR]])</f>
        <v>17000</v>
      </c>
      <c r="L36" s="30">
        <f>IF(OR(tblSalesClean[[#This Row],[Gross_Revenue_ZAR]]="",tblSalesClean[[#This Row],[Discount_Pct]]=""),"",tblSalesClean[[#This Row],[Gross_Revenue_ZAR]]*(1-tblSalesClean[[#This Row],[Discount_Pct]]))</f>
        <v>16150</v>
      </c>
      <c r="M36" s="30">
        <f>IF(OR(tblSalesClean[[#This Row],[Net_Revenue_ZAR]]="",tblSalesClean[[#This Row],[Quantity]]="",tblSalesClean[[#This Row],[Unit_Cost_ZAR]]=""),"",tblSalesClean[[#This Row],[Net_Revenue_ZAR]]-(tblSalesClean[[#This Row],[Quantity]]*tblSalesClean[[#This Row],[Unit_Cost_ZAR]]))</f>
        <v>4650</v>
      </c>
    </row>
    <row r="37" spans="1:13" ht="13.5" x14ac:dyDescent="0.25">
      <c r="A37" s="1" t="s">
        <v>60</v>
      </c>
      <c r="B37" s="3">
        <v>45864</v>
      </c>
      <c r="C37" s="1" t="s">
        <v>27</v>
      </c>
      <c r="D37" s="1" t="s">
        <v>14</v>
      </c>
      <c r="E37" s="1" t="s">
        <v>15</v>
      </c>
      <c r="F37" s="1">
        <v>6</v>
      </c>
      <c r="G37" s="1">
        <v>2100</v>
      </c>
      <c r="H37" s="1">
        <v>1350</v>
      </c>
      <c r="I37" s="1">
        <v>0</v>
      </c>
      <c r="J37" s="8" t="str">
        <f>IF(OR(tblSalesClean[[#This Row],[Quantity]]="",tblSalesClean[[#This Row],[Discount_Pct]]=""),"Incomplete","Complete")</f>
        <v>Complete</v>
      </c>
      <c r="K37" s="30">
        <f>IF(OR(tblSalesClean[[#This Row],[Quantity]]="",tblSalesClean[[#This Row],[Unit_Price_ZAR]]=""),"",tblSalesClean[[#This Row],[Quantity]]*tblSalesClean[[#This Row],[Unit_Price_ZAR]])</f>
        <v>12600</v>
      </c>
      <c r="L37" s="30">
        <f>IF(OR(tblSalesClean[[#This Row],[Gross_Revenue_ZAR]]="",tblSalesClean[[#This Row],[Discount_Pct]]=""),"",tblSalesClean[[#This Row],[Gross_Revenue_ZAR]]*(1-tblSalesClean[[#This Row],[Discount_Pct]]))</f>
        <v>12600</v>
      </c>
      <c r="M37" s="30">
        <f>IF(OR(tblSalesClean[[#This Row],[Net_Revenue_ZAR]]="",tblSalesClean[[#This Row],[Quantity]]="",tblSalesClean[[#This Row],[Unit_Cost_ZAR]]=""),"",tblSalesClean[[#This Row],[Net_Revenue_ZAR]]-(tblSalesClean[[#This Row],[Quantity]]*tblSalesClean[[#This Row],[Unit_Cost_ZAR]]))</f>
        <v>4500</v>
      </c>
    </row>
    <row r="38" spans="1:13" ht="13.5" x14ac:dyDescent="0.25">
      <c r="A38" s="1" t="s">
        <v>61</v>
      </c>
      <c r="B38" s="3">
        <v>45914</v>
      </c>
      <c r="C38" s="1" t="s">
        <v>17</v>
      </c>
      <c r="D38" s="1" t="s">
        <v>25</v>
      </c>
      <c r="E38" s="1" t="s">
        <v>19</v>
      </c>
      <c r="F38" s="1">
        <v>4</v>
      </c>
      <c r="G38" s="1">
        <v>3400</v>
      </c>
      <c r="H38" s="1">
        <v>2300</v>
      </c>
      <c r="I38" s="1">
        <v>0</v>
      </c>
      <c r="J38" s="8" t="str">
        <f>IF(OR(tblSalesClean[[#This Row],[Quantity]]="",tblSalesClean[[#This Row],[Discount_Pct]]=""),"Incomplete","Complete")</f>
        <v>Complete</v>
      </c>
      <c r="K38" s="30">
        <f>IF(OR(tblSalesClean[[#This Row],[Quantity]]="",tblSalesClean[[#This Row],[Unit_Price_ZAR]]=""),"",tblSalesClean[[#This Row],[Quantity]]*tblSalesClean[[#This Row],[Unit_Price_ZAR]])</f>
        <v>13600</v>
      </c>
      <c r="L38" s="30">
        <f>IF(OR(tblSalesClean[[#This Row],[Gross_Revenue_ZAR]]="",tblSalesClean[[#This Row],[Discount_Pct]]=""),"",tblSalesClean[[#This Row],[Gross_Revenue_ZAR]]*(1-tblSalesClean[[#This Row],[Discount_Pct]]))</f>
        <v>13600</v>
      </c>
      <c r="M38" s="30">
        <f>IF(OR(tblSalesClean[[#This Row],[Net_Revenue_ZAR]]="",tblSalesClean[[#This Row],[Quantity]]="",tblSalesClean[[#This Row],[Unit_Cost_ZAR]]=""),"",tblSalesClean[[#This Row],[Net_Revenue_ZAR]]-(tblSalesClean[[#This Row],[Quantity]]*tblSalesClean[[#This Row],[Unit_Cost_ZAR]]))</f>
        <v>4400</v>
      </c>
    </row>
    <row r="39" spans="1:13" ht="13.5" x14ac:dyDescent="0.25">
      <c r="A39" s="1" t="s">
        <v>62</v>
      </c>
      <c r="B39" s="3">
        <v>45751</v>
      </c>
      <c r="C39" s="1" t="s">
        <v>21</v>
      </c>
      <c r="D39" s="1" t="s">
        <v>63</v>
      </c>
      <c r="E39" s="1" t="s">
        <v>12</v>
      </c>
      <c r="F39" s="1">
        <v>3</v>
      </c>
      <c r="G39" s="1">
        <v>520</v>
      </c>
      <c r="H39" s="1">
        <v>290</v>
      </c>
      <c r="I39" s="1">
        <v>0</v>
      </c>
      <c r="J39" s="8" t="str">
        <f>IF(OR(tblSalesClean[[#This Row],[Quantity]]="",tblSalesClean[[#This Row],[Discount_Pct]]=""),"Incomplete","Complete")</f>
        <v>Complete</v>
      </c>
      <c r="K39" s="30">
        <f>IF(OR(tblSalesClean[[#This Row],[Quantity]]="",tblSalesClean[[#This Row],[Unit_Price_ZAR]]=""),"",tblSalesClean[[#This Row],[Quantity]]*tblSalesClean[[#This Row],[Unit_Price_ZAR]])</f>
        <v>1560</v>
      </c>
      <c r="L39" s="30">
        <f>IF(OR(tblSalesClean[[#This Row],[Gross_Revenue_ZAR]]="",tblSalesClean[[#This Row],[Discount_Pct]]=""),"",tblSalesClean[[#This Row],[Gross_Revenue_ZAR]]*(1-tblSalesClean[[#This Row],[Discount_Pct]]))</f>
        <v>1560</v>
      </c>
      <c r="M39" s="30">
        <f>IF(OR(tblSalesClean[[#This Row],[Net_Revenue_ZAR]]="",tblSalesClean[[#This Row],[Quantity]]="",tblSalesClean[[#This Row],[Unit_Cost_ZAR]]=""),"",tblSalesClean[[#This Row],[Net_Revenue_ZAR]]-(tblSalesClean[[#This Row],[Quantity]]*tblSalesClean[[#This Row],[Unit_Cost_ZAR]]))</f>
        <v>690</v>
      </c>
    </row>
    <row r="40" spans="1:13" ht="13.5" x14ac:dyDescent="0.25">
      <c r="A40" s="1" t="s">
        <v>64</v>
      </c>
      <c r="B40" s="3">
        <v>45911</v>
      </c>
      <c r="C40" s="1" t="s">
        <v>17</v>
      </c>
      <c r="D40" s="1" t="s">
        <v>28</v>
      </c>
      <c r="E40" s="1" t="s">
        <v>15</v>
      </c>
      <c r="F40" s="1">
        <v>5</v>
      </c>
      <c r="G40" s="1">
        <v>2800</v>
      </c>
      <c r="H40" s="1">
        <v>1900</v>
      </c>
      <c r="I40" s="1">
        <v>0.05</v>
      </c>
      <c r="J40" s="8" t="str">
        <f>IF(OR(tblSalesClean[[#This Row],[Quantity]]="",tblSalesClean[[#This Row],[Discount_Pct]]=""),"Incomplete","Complete")</f>
        <v>Complete</v>
      </c>
      <c r="K40" s="30">
        <f>IF(OR(tblSalesClean[[#This Row],[Quantity]]="",tblSalesClean[[#This Row],[Unit_Price_ZAR]]=""),"",tblSalesClean[[#This Row],[Quantity]]*tblSalesClean[[#This Row],[Unit_Price_ZAR]])</f>
        <v>14000</v>
      </c>
      <c r="L40" s="30">
        <f>IF(OR(tblSalesClean[[#This Row],[Gross_Revenue_ZAR]]="",tblSalesClean[[#This Row],[Discount_Pct]]=""),"",tblSalesClean[[#This Row],[Gross_Revenue_ZAR]]*(1-tblSalesClean[[#This Row],[Discount_Pct]]))</f>
        <v>13300</v>
      </c>
      <c r="M40" s="30">
        <f>IF(OR(tblSalesClean[[#This Row],[Net_Revenue_ZAR]]="",tblSalesClean[[#This Row],[Quantity]]="",tblSalesClean[[#This Row],[Unit_Cost_ZAR]]=""),"",tblSalesClean[[#This Row],[Net_Revenue_ZAR]]-(tblSalesClean[[#This Row],[Quantity]]*tblSalesClean[[#This Row],[Unit_Cost_ZAR]]))</f>
        <v>3800</v>
      </c>
    </row>
    <row r="41" spans="1:13" ht="13.5" x14ac:dyDescent="0.25">
      <c r="A41" s="1" t="s">
        <v>65</v>
      </c>
      <c r="B41" s="3">
        <v>45970</v>
      </c>
      <c r="C41" s="1" t="s">
        <v>27</v>
      </c>
      <c r="D41" s="1" t="s">
        <v>18</v>
      </c>
      <c r="E41" s="1" t="s">
        <v>19</v>
      </c>
      <c r="F41" s="1">
        <v>6</v>
      </c>
      <c r="G41" s="1">
        <v>12500</v>
      </c>
      <c r="H41" s="1">
        <v>9400</v>
      </c>
      <c r="I41" s="1">
        <v>0.15</v>
      </c>
      <c r="J41" s="8" t="str">
        <f>IF(OR(tblSalesClean[[#This Row],[Quantity]]="",tblSalesClean[[#This Row],[Discount_Pct]]=""),"Incomplete","Complete")</f>
        <v>Complete</v>
      </c>
      <c r="K41" s="30">
        <f>IF(OR(tblSalesClean[[#This Row],[Quantity]]="",tblSalesClean[[#This Row],[Unit_Price_ZAR]]=""),"",tblSalesClean[[#This Row],[Quantity]]*tblSalesClean[[#This Row],[Unit_Price_ZAR]])</f>
        <v>75000</v>
      </c>
      <c r="L41" s="30">
        <f>IF(OR(tblSalesClean[[#This Row],[Gross_Revenue_ZAR]]="",tblSalesClean[[#This Row],[Discount_Pct]]=""),"",tblSalesClean[[#This Row],[Gross_Revenue_ZAR]]*(1-tblSalesClean[[#This Row],[Discount_Pct]]))</f>
        <v>63750</v>
      </c>
      <c r="M41" s="30">
        <f>IF(OR(tblSalesClean[[#This Row],[Net_Revenue_ZAR]]="",tblSalesClean[[#This Row],[Quantity]]="",tblSalesClean[[#This Row],[Unit_Cost_ZAR]]=""),"",tblSalesClean[[#This Row],[Net_Revenue_ZAR]]-(tblSalesClean[[#This Row],[Quantity]]*tblSalesClean[[#This Row],[Unit_Cost_ZAR]]))</f>
        <v>7350</v>
      </c>
    </row>
    <row r="42" spans="1:13" ht="13.5" x14ac:dyDescent="0.25">
      <c r="A42" s="1" t="s">
        <v>66</v>
      </c>
      <c r="B42" s="3">
        <v>45671</v>
      </c>
      <c r="C42" s="1" t="s">
        <v>27</v>
      </c>
      <c r="D42" s="1" t="s">
        <v>44</v>
      </c>
      <c r="E42" s="1" t="s">
        <v>12</v>
      </c>
      <c r="F42" s="1">
        <v>6</v>
      </c>
      <c r="G42" s="1">
        <v>1100</v>
      </c>
      <c r="H42" s="1">
        <v>650</v>
      </c>
      <c r="I42" s="1">
        <v>0</v>
      </c>
      <c r="J42" s="8" t="str">
        <f>IF(OR(tblSalesClean[[#This Row],[Quantity]]="",tblSalesClean[[#This Row],[Discount_Pct]]=""),"Incomplete","Complete")</f>
        <v>Complete</v>
      </c>
      <c r="K42" s="30">
        <f>IF(OR(tblSalesClean[[#This Row],[Quantity]]="",tblSalesClean[[#This Row],[Unit_Price_ZAR]]=""),"",tblSalesClean[[#This Row],[Quantity]]*tblSalesClean[[#This Row],[Unit_Price_ZAR]])</f>
        <v>6600</v>
      </c>
      <c r="L42" s="30">
        <f>IF(OR(tblSalesClean[[#This Row],[Gross_Revenue_ZAR]]="",tblSalesClean[[#This Row],[Discount_Pct]]=""),"",tblSalesClean[[#This Row],[Gross_Revenue_ZAR]]*(1-tblSalesClean[[#This Row],[Discount_Pct]]))</f>
        <v>6600</v>
      </c>
      <c r="M42" s="30">
        <f>IF(OR(tblSalesClean[[#This Row],[Net_Revenue_ZAR]]="",tblSalesClean[[#This Row],[Quantity]]="",tblSalesClean[[#This Row],[Unit_Cost_ZAR]]=""),"",tblSalesClean[[#This Row],[Net_Revenue_ZAR]]-(tblSalesClean[[#This Row],[Quantity]]*tblSalesClean[[#This Row],[Unit_Cost_ZAR]]))</f>
        <v>2700</v>
      </c>
    </row>
    <row r="43" spans="1:13" ht="13.5" x14ac:dyDescent="0.25">
      <c r="A43" s="1" t="s">
        <v>67</v>
      </c>
      <c r="B43" s="3">
        <v>45913</v>
      </c>
      <c r="C43" s="1" t="s">
        <v>10</v>
      </c>
      <c r="D43" s="1" t="s">
        <v>11</v>
      </c>
      <c r="E43" s="1" t="s">
        <v>12</v>
      </c>
      <c r="F43" s="1">
        <v>3</v>
      </c>
      <c r="G43" s="1">
        <v>1850</v>
      </c>
      <c r="H43" s="1">
        <v>1200</v>
      </c>
      <c r="I43" s="1">
        <v>0.1</v>
      </c>
      <c r="J43" s="8" t="str">
        <f>IF(OR(tblSalesClean[[#This Row],[Quantity]]="",tblSalesClean[[#This Row],[Discount_Pct]]=""),"Incomplete","Complete")</f>
        <v>Complete</v>
      </c>
      <c r="K43" s="30">
        <f>IF(OR(tblSalesClean[[#This Row],[Quantity]]="",tblSalesClean[[#This Row],[Unit_Price_ZAR]]=""),"",tblSalesClean[[#This Row],[Quantity]]*tblSalesClean[[#This Row],[Unit_Price_ZAR]])</f>
        <v>5550</v>
      </c>
      <c r="L43" s="30">
        <f>IF(OR(tblSalesClean[[#This Row],[Gross_Revenue_ZAR]]="",tblSalesClean[[#This Row],[Discount_Pct]]=""),"",tblSalesClean[[#This Row],[Gross_Revenue_ZAR]]*(1-tblSalesClean[[#This Row],[Discount_Pct]]))</f>
        <v>4995</v>
      </c>
      <c r="M43" s="30">
        <f>IF(OR(tblSalesClean[[#This Row],[Net_Revenue_ZAR]]="",tblSalesClean[[#This Row],[Quantity]]="",tblSalesClean[[#This Row],[Unit_Cost_ZAR]]=""),"",tblSalesClean[[#This Row],[Net_Revenue_ZAR]]-(tblSalesClean[[#This Row],[Quantity]]*tblSalesClean[[#This Row],[Unit_Cost_ZAR]]))</f>
        <v>1395</v>
      </c>
    </row>
    <row r="44" spans="1:13" ht="13.5" x14ac:dyDescent="0.25">
      <c r="A44" s="1" t="s">
        <v>68</v>
      </c>
      <c r="B44" s="3">
        <v>45876</v>
      </c>
      <c r="C44" s="1" t="s">
        <v>27</v>
      </c>
      <c r="D44" s="1" t="s">
        <v>22</v>
      </c>
      <c r="E44" s="1" t="s">
        <v>19</v>
      </c>
      <c r="F44" s="1">
        <v>2</v>
      </c>
      <c r="G44" s="1">
        <v>650</v>
      </c>
      <c r="H44" s="1">
        <v>340</v>
      </c>
      <c r="I44" s="1">
        <v>0</v>
      </c>
      <c r="J44" s="8" t="str">
        <f>IF(OR(tblSalesClean[[#This Row],[Quantity]]="",tblSalesClean[[#This Row],[Discount_Pct]]=""),"Incomplete","Complete")</f>
        <v>Complete</v>
      </c>
      <c r="K44" s="30">
        <f>IF(OR(tblSalesClean[[#This Row],[Quantity]]="",tblSalesClean[[#This Row],[Unit_Price_ZAR]]=""),"",tblSalesClean[[#This Row],[Quantity]]*tblSalesClean[[#This Row],[Unit_Price_ZAR]])</f>
        <v>1300</v>
      </c>
      <c r="L44" s="30">
        <f>IF(OR(tblSalesClean[[#This Row],[Gross_Revenue_ZAR]]="",tblSalesClean[[#This Row],[Discount_Pct]]=""),"",tblSalesClean[[#This Row],[Gross_Revenue_ZAR]]*(1-tblSalesClean[[#This Row],[Discount_Pct]]))</f>
        <v>1300</v>
      </c>
      <c r="M44" s="30">
        <f>IF(OR(tblSalesClean[[#This Row],[Net_Revenue_ZAR]]="",tblSalesClean[[#This Row],[Quantity]]="",tblSalesClean[[#This Row],[Unit_Cost_ZAR]]=""),"",tblSalesClean[[#This Row],[Net_Revenue_ZAR]]-(tblSalesClean[[#This Row],[Quantity]]*tblSalesClean[[#This Row],[Unit_Cost_ZAR]]))</f>
        <v>620</v>
      </c>
    </row>
    <row r="45" spans="1:13" ht="13.5" x14ac:dyDescent="0.25">
      <c r="A45" s="1" t="s">
        <v>69</v>
      </c>
      <c r="B45" s="3">
        <v>45863</v>
      </c>
      <c r="C45" s="1" t="s">
        <v>10</v>
      </c>
      <c r="D45" s="1" t="s">
        <v>44</v>
      </c>
      <c r="E45" s="1" t="s">
        <v>12</v>
      </c>
      <c r="F45" s="1">
        <v>6</v>
      </c>
      <c r="G45" s="1">
        <v>1100</v>
      </c>
      <c r="H45" s="1">
        <v>650</v>
      </c>
      <c r="I45" s="1">
        <v>0.1</v>
      </c>
      <c r="J45" s="8" t="str">
        <f>IF(OR(tblSalesClean[[#This Row],[Quantity]]="",tblSalesClean[[#This Row],[Discount_Pct]]=""),"Incomplete","Complete")</f>
        <v>Complete</v>
      </c>
      <c r="K45" s="30">
        <f>IF(OR(tblSalesClean[[#This Row],[Quantity]]="",tblSalesClean[[#This Row],[Unit_Price_ZAR]]=""),"",tblSalesClean[[#This Row],[Quantity]]*tblSalesClean[[#This Row],[Unit_Price_ZAR]])</f>
        <v>6600</v>
      </c>
      <c r="L45" s="30">
        <f>IF(OR(tblSalesClean[[#This Row],[Gross_Revenue_ZAR]]="",tblSalesClean[[#This Row],[Discount_Pct]]=""),"",tblSalesClean[[#This Row],[Gross_Revenue_ZAR]]*(1-tblSalesClean[[#This Row],[Discount_Pct]]))</f>
        <v>5940</v>
      </c>
      <c r="M45" s="30">
        <f>IF(OR(tblSalesClean[[#This Row],[Net_Revenue_ZAR]]="",tblSalesClean[[#This Row],[Quantity]]="",tblSalesClean[[#This Row],[Unit_Cost_ZAR]]=""),"",tblSalesClean[[#This Row],[Net_Revenue_ZAR]]-(tblSalesClean[[#This Row],[Quantity]]*tblSalesClean[[#This Row],[Unit_Cost_ZAR]]))</f>
        <v>2040</v>
      </c>
    </row>
    <row r="46" spans="1:13" ht="13.5" x14ac:dyDescent="0.25">
      <c r="A46" s="1" t="s">
        <v>70</v>
      </c>
      <c r="B46" s="3">
        <v>45850</v>
      </c>
      <c r="C46" s="1" t="s">
        <v>10</v>
      </c>
      <c r="D46" s="1" t="s">
        <v>44</v>
      </c>
      <c r="E46" s="1" t="s">
        <v>12</v>
      </c>
      <c r="F46" s="1">
        <v>3</v>
      </c>
      <c r="G46" s="1">
        <v>1100</v>
      </c>
      <c r="H46" s="1">
        <v>650</v>
      </c>
      <c r="I46" s="1">
        <v>0.1</v>
      </c>
      <c r="J46" s="8" t="str">
        <f>IF(OR(tblSalesClean[[#This Row],[Quantity]]="",tblSalesClean[[#This Row],[Discount_Pct]]=""),"Incomplete","Complete")</f>
        <v>Complete</v>
      </c>
      <c r="K46" s="30">
        <f>IF(OR(tblSalesClean[[#This Row],[Quantity]]="",tblSalesClean[[#This Row],[Unit_Price_ZAR]]=""),"",tblSalesClean[[#This Row],[Quantity]]*tblSalesClean[[#This Row],[Unit_Price_ZAR]])</f>
        <v>3300</v>
      </c>
      <c r="L46" s="30">
        <f>IF(OR(tblSalesClean[[#This Row],[Gross_Revenue_ZAR]]="",tblSalesClean[[#This Row],[Discount_Pct]]=""),"",tblSalesClean[[#This Row],[Gross_Revenue_ZAR]]*(1-tblSalesClean[[#This Row],[Discount_Pct]]))</f>
        <v>2970</v>
      </c>
      <c r="M46" s="30">
        <f>IF(OR(tblSalesClean[[#This Row],[Net_Revenue_ZAR]]="",tblSalesClean[[#This Row],[Quantity]]="",tblSalesClean[[#This Row],[Unit_Cost_ZAR]]=""),"",tblSalesClean[[#This Row],[Net_Revenue_ZAR]]-(tblSalesClean[[#This Row],[Quantity]]*tblSalesClean[[#This Row],[Unit_Cost_ZAR]]))</f>
        <v>1020</v>
      </c>
    </row>
    <row r="47" spans="1:13" ht="13.5" x14ac:dyDescent="0.25">
      <c r="A47" s="1" t="s">
        <v>71</v>
      </c>
      <c r="B47" s="3">
        <v>45943</v>
      </c>
      <c r="C47" s="1" t="s">
        <v>27</v>
      </c>
      <c r="D47" s="1" t="s">
        <v>18</v>
      </c>
      <c r="E47" s="1" t="s">
        <v>19</v>
      </c>
      <c r="F47" s="1">
        <v>6</v>
      </c>
      <c r="G47" s="1">
        <v>12500</v>
      </c>
      <c r="H47" s="1">
        <v>9400</v>
      </c>
      <c r="I47" s="1">
        <v>0</v>
      </c>
      <c r="J47" s="8" t="str">
        <f>IF(OR(tblSalesClean[[#This Row],[Quantity]]="",tblSalesClean[[#This Row],[Discount_Pct]]=""),"Incomplete","Complete")</f>
        <v>Complete</v>
      </c>
      <c r="K47" s="30">
        <f>IF(OR(tblSalesClean[[#This Row],[Quantity]]="",tblSalesClean[[#This Row],[Unit_Price_ZAR]]=""),"",tblSalesClean[[#This Row],[Quantity]]*tblSalesClean[[#This Row],[Unit_Price_ZAR]])</f>
        <v>75000</v>
      </c>
      <c r="L47" s="30">
        <f>IF(OR(tblSalesClean[[#This Row],[Gross_Revenue_ZAR]]="",tblSalesClean[[#This Row],[Discount_Pct]]=""),"",tblSalesClean[[#This Row],[Gross_Revenue_ZAR]]*(1-tblSalesClean[[#This Row],[Discount_Pct]]))</f>
        <v>75000</v>
      </c>
      <c r="M47" s="30">
        <f>IF(OR(tblSalesClean[[#This Row],[Net_Revenue_ZAR]]="",tblSalesClean[[#This Row],[Quantity]]="",tblSalesClean[[#This Row],[Unit_Cost_ZAR]]=""),"",tblSalesClean[[#This Row],[Net_Revenue_ZAR]]-(tblSalesClean[[#This Row],[Quantity]]*tblSalesClean[[#This Row],[Unit_Cost_ZAR]]))</f>
        <v>18600</v>
      </c>
    </row>
    <row r="48" spans="1:13" ht="13.5" x14ac:dyDescent="0.25">
      <c r="A48" s="1" t="s">
        <v>72</v>
      </c>
      <c r="B48" s="3">
        <v>45753</v>
      </c>
      <c r="C48" s="1" t="s">
        <v>10</v>
      </c>
      <c r="D48" s="1" t="s">
        <v>11</v>
      </c>
      <c r="E48" s="1" t="s">
        <v>12</v>
      </c>
      <c r="F48" s="1">
        <v>3</v>
      </c>
      <c r="G48" s="1">
        <v>1850</v>
      </c>
      <c r="H48" s="1">
        <v>1200</v>
      </c>
      <c r="I48" s="1">
        <v>0.1</v>
      </c>
      <c r="J48" s="8" t="str">
        <f>IF(OR(tblSalesClean[[#This Row],[Quantity]]="",tblSalesClean[[#This Row],[Discount_Pct]]=""),"Incomplete","Complete")</f>
        <v>Complete</v>
      </c>
      <c r="K48" s="30">
        <f>IF(OR(tblSalesClean[[#This Row],[Quantity]]="",tblSalesClean[[#This Row],[Unit_Price_ZAR]]=""),"",tblSalesClean[[#This Row],[Quantity]]*tblSalesClean[[#This Row],[Unit_Price_ZAR]])</f>
        <v>5550</v>
      </c>
      <c r="L48" s="30">
        <f>IF(OR(tblSalesClean[[#This Row],[Gross_Revenue_ZAR]]="",tblSalesClean[[#This Row],[Discount_Pct]]=""),"",tblSalesClean[[#This Row],[Gross_Revenue_ZAR]]*(1-tblSalesClean[[#This Row],[Discount_Pct]]))</f>
        <v>4995</v>
      </c>
      <c r="M48" s="30">
        <f>IF(OR(tblSalesClean[[#This Row],[Net_Revenue_ZAR]]="",tblSalesClean[[#This Row],[Quantity]]="",tblSalesClean[[#This Row],[Unit_Cost_ZAR]]=""),"",tblSalesClean[[#This Row],[Net_Revenue_ZAR]]-(tblSalesClean[[#This Row],[Quantity]]*tblSalesClean[[#This Row],[Unit_Cost_ZAR]]))</f>
        <v>1395</v>
      </c>
    </row>
    <row r="49" spans="1:13" ht="13.5" x14ac:dyDescent="0.25">
      <c r="A49" s="1" t="s">
        <v>73</v>
      </c>
      <c r="B49" s="3">
        <v>46011</v>
      </c>
      <c r="C49" s="1" t="s">
        <v>10</v>
      </c>
      <c r="D49" s="1" t="s">
        <v>44</v>
      </c>
      <c r="E49" s="1" t="s">
        <v>12</v>
      </c>
      <c r="F49" s="1">
        <v>1</v>
      </c>
      <c r="G49" s="1">
        <v>1100</v>
      </c>
      <c r="H49" s="1">
        <v>650</v>
      </c>
      <c r="I49" s="1">
        <v>0.1</v>
      </c>
      <c r="J49" s="8" t="str">
        <f>IF(OR(tblSalesClean[[#This Row],[Quantity]]="",tblSalesClean[[#This Row],[Discount_Pct]]=""),"Incomplete","Complete")</f>
        <v>Complete</v>
      </c>
      <c r="K49" s="30">
        <f>IF(OR(tblSalesClean[[#This Row],[Quantity]]="",tblSalesClean[[#This Row],[Unit_Price_ZAR]]=""),"",tblSalesClean[[#This Row],[Quantity]]*tblSalesClean[[#This Row],[Unit_Price_ZAR]])</f>
        <v>1100</v>
      </c>
      <c r="L49" s="30">
        <f>IF(OR(tblSalesClean[[#This Row],[Gross_Revenue_ZAR]]="",tblSalesClean[[#This Row],[Discount_Pct]]=""),"",tblSalesClean[[#This Row],[Gross_Revenue_ZAR]]*(1-tblSalesClean[[#This Row],[Discount_Pct]]))</f>
        <v>990</v>
      </c>
      <c r="M49" s="30">
        <f>IF(OR(tblSalesClean[[#This Row],[Net_Revenue_ZAR]]="",tblSalesClean[[#This Row],[Quantity]]="",tblSalesClean[[#This Row],[Unit_Cost_ZAR]]=""),"",tblSalesClean[[#This Row],[Net_Revenue_ZAR]]-(tblSalesClean[[#This Row],[Quantity]]*tblSalesClean[[#This Row],[Unit_Cost_ZAR]]))</f>
        <v>340</v>
      </c>
    </row>
    <row r="50" spans="1:13" ht="13.5" x14ac:dyDescent="0.25">
      <c r="A50" s="1" t="s">
        <v>74</v>
      </c>
      <c r="B50" s="3">
        <v>45678</v>
      </c>
      <c r="C50" s="1" t="s">
        <v>10</v>
      </c>
      <c r="D50" s="1" t="s">
        <v>44</v>
      </c>
      <c r="E50" s="1" t="s">
        <v>12</v>
      </c>
      <c r="F50" s="1">
        <v>2</v>
      </c>
      <c r="G50" s="1">
        <v>1100</v>
      </c>
      <c r="H50" s="1">
        <v>650</v>
      </c>
      <c r="I50" s="1">
        <v>0</v>
      </c>
      <c r="J50" s="8" t="str">
        <f>IF(OR(tblSalesClean[[#This Row],[Quantity]]="",tblSalesClean[[#This Row],[Discount_Pct]]=""),"Incomplete","Complete")</f>
        <v>Complete</v>
      </c>
      <c r="K50" s="30">
        <f>IF(OR(tblSalesClean[[#This Row],[Quantity]]="",tblSalesClean[[#This Row],[Unit_Price_ZAR]]=""),"",tblSalesClean[[#This Row],[Quantity]]*tblSalesClean[[#This Row],[Unit_Price_ZAR]])</f>
        <v>2200</v>
      </c>
      <c r="L50" s="30">
        <f>IF(OR(tblSalesClean[[#This Row],[Gross_Revenue_ZAR]]="",tblSalesClean[[#This Row],[Discount_Pct]]=""),"",tblSalesClean[[#This Row],[Gross_Revenue_ZAR]]*(1-tblSalesClean[[#This Row],[Discount_Pct]]))</f>
        <v>2200</v>
      </c>
      <c r="M50" s="30">
        <f>IF(OR(tblSalesClean[[#This Row],[Net_Revenue_ZAR]]="",tblSalesClean[[#This Row],[Quantity]]="",tblSalesClean[[#This Row],[Unit_Cost_ZAR]]=""),"",tblSalesClean[[#This Row],[Net_Revenue_ZAR]]-(tblSalesClean[[#This Row],[Quantity]]*tblSalesClean[[#This Row],[Unit_Cost_ZAR]]))</f>
        <v>900</v>
      </c>
    </row>
    <row r="51" spans="1:13" ht="13.5" x14ac:dyDescent="0.25">
      <c r="A51" s="1" t="s">
        <v>75</v>
      </c>
      <c r="B51" s="3">
        <v>45702</v>
      </c>
      <c r="C51" s="1" t="s">
        <v>27</v>
      </c>
      <c r="D51" s="1" t="s">
        <v>63</v>
      </c>
      <c r="E51" s="1" t="s">
        <v>12</v>
      </c>
      <c r="F51" s="1">
        <v>4</v>
      </c>
      <c r="G51" s="1">
        <v>520</v>
      </c>
      <c r="H51" s="1">
        <v>290</v>
      </c>
      <c r="I51" s="1">
        <v>0</v>
      </c>
      <c r="J51" s="8" t="str">
        <f>IF(OR(tblSalesClean[[#This Row],[Quantity]]="",tblSalesClean[[#This Row],[Discount_Pct]]=""),"Incomplete","Complete")</f>
        <v>Complete</v>
      </c>
      <c r="K51" s="30">
        <f>IF(OR(tblSalesClean[[#This Row],[Quantity]]="",tblSalesClean[[#This Row],[Unit_Price_ZAR]]=""),"",tblSalesClean[[#This Row],[Quantity]]*tblSalesClean[[#This Row],[Unit_Price_ZAR]])</f>
        <v>2080</v>
      </c>
      <c r="L51" s="30">
        <f>IF(OR(tblSalesClean[[#This Row],[Gross_Revenue_ZAR]]="",tblSalesClean[[#This Row],[Discount_Pct]]=""),"",tblSalesClean[[#This Row],[Gross_Revenue_ZAR]]*(1-tblSalesClean[[#This Row],[Discount_Pct]]))</f>
        <v>2080</v>
      </c>
      <c r="M51" s="30">
        <f>IF(OR(tblSalesClean[[#This Row],[Net_Revenue_ZAR]]="",tblSalesClean[[#This Row],[Quantity]]="",tblSalesClean[[#This Row],[Unit_Cost_ZAR]]=""),"",tblSalesClean[[#This Row],[Net_Revenue_ZAR]]-(tblSalesClean[[#This Row],[Quantity]]*tblSalesClean[[#This Row],[Unit_Cost_ZAR]]))</f>
        <v>920</v>
      </c>
    </row>
    <row r="52" spans="1:13" ht="13.5" x14ac:dyDescent="0.25">
      <c r="A52" s="1" t="s">
        <v>76</v>
      </c>
      <c r="B52" s="3">
        <v>45712</v>
      </c>
      <c r="C52" s="1" t="s">
        <v>10</v>
      </c>
      <c r="D52" s="1" t="s">
        <v>14</v>
      </c>
      <c r="E52" s="1" t="s">
        <v>15</v>
      </c>
      <c r="F52" s="1">
        <v>1</v>
      </c>
      <c r="G52" s="1">
        <v>2100</v>
      </c>
      <c r="H52" s="1">
        <v>1350</v>
      </c>
      <c r="I52" s="1">
        <v>0.1</v>
      </c>
      <c r="J52" s="8" t="str">
        <f>IF(OR(tblSalesClean[[#This Row],[Quantity]]="",tblSalesClean[[#This Row],[Discount_Pct]]=""),"Incomplete","Complete")</f>
        <v>Complete</v>
      </c>
      <c r="K52" s="30">
        <f>IF(OR(tblSalesClean[[#This Row],[Quantity]]="",tblSalesClean[[#This Row],[Unit_Price_ZAR]]=""),"",tblSalesClean[[#This Row],[Quantity]]*tblSalesClean[[#This Row],[Unit_Price_ZAR]])</f>
        <v>2100</v>
      </c>
      <c r="L52" s="30">
        <f>IF(OR(tblSalesClean[[#This Row],[Gross_Revenue_ZAR]]="",tblSalesClean[[#This Row],[Discount_Pct]]=""),"",tblSalesClean[[#This Row],[Gross_Revenue_ZAR]]*(1-tblSalesClean[[#This Row],[Discount_Pct]]))</f>
        <v>1890</v>
      </c>
      <c r="M52" s="30">
        <f>IF(OR(tblSalesClean[[#This Row],[Net_Revenue_ZAR]]="",tblSalesClean[[#This Row],[Quantity]]="",tblSalesClean[[#This Row],[Unit_Cost_ZAR]]=""),"",tblSalesClean[[#This Row],[Net_Revenue_ZAR]]-(tblSalesClean[[#This Row],[Quantity]]*tblSalesClean[[#This Row],[Unit_Cost_ZAR]]))</f>
        <v>540</v>
      </c>
    </row>
    <row r="53" spans="1:13" ht="13.5" x14ac:dyDescent="0.25">
      <c r="A53" s="1" t="s">
        <v>77</v>
      </c>
      <c r="B53" s="3">
        <v>46000</v>
      </c>
      <c r="C53" s="1" t="s">
        <v>17</v>
      </c>
      <c r="D53" s="1" t="s">
        <v>54</v>
      </c>
      <c r="E53" s="1" t="s">
        <v>15</v>
      </c>
      <c r="F53" s="1">
        <v>6</v>
      </c>
      <c r="G53" s="1">
        <v>3900</v>
      </c>
      <c r="H53" s="1">
        <v>2700</v>
      </c>
      <c r="I53" s="1">
        <v>0</v>
      </c>
      <c r="J53" s="8" t="str">
        <f>IF(OR(tblSalesClean[[#This Row],[Quantity]]="",tblSalesClean[[#This Row],[Discount_Pct]]=""),"Incomplete","Complete")</f>
        <v>Complete</v>
      </c>
      <c r="K53" s="30">
        <f>IF(OR(tblSalesClean[[#This Row],[Quantity]]="",tblSalesClean[[#This Row],[Unit_Price_ZAR]]=""),"",tblSalesClean[[#This Row],[Quantity]]*tblSalesClean[[#This Row],[Unit_Price_ZAR]])</f>
        <v>23400</v>
      </c>
      <c r="L53" s="30">
        <f>IF(OR(tblSalesClean[[#This Row],[Gross_Revenue_ZAR]]="",tblSalesClean[[#This Row],[Discount_Pct]]=""),"",tblSalesClean[[#This Row],[Gross_Revenue_ZAR]]*(1-tblSalesClean[[#This Row],[Discount_Pct]]))</f>
        <v>23400</v>
      </c>
      <c r="M53" s="30">
        <f>IF(OR(tblSalesClean[[#This Row],[Net_Revenue_ZAR]]="",tblSalesClean[[#This Row],[Quantity]]="",tblSalesClean[[#This Row],[Unit_Cost_ZAR]]=""),"",tblSalesClean[[#This Row],[Net_Revenue_ZAR]]-(tblSalesClean[[#This Row],[Quantity]]*tblSalesClean[[#This Row],[Unit_Cost_ZAR]]))</f>
        <v>7200</v>
      </c>
    </row>
    <row r="54" spans="1:13" ht="13.5" x14ac:dyDescent="0.25">
      <c r="A54" s="1" t="s">
        <v>78</v>
      </c>
      <c r="B54" s="3">
        <v>45749</v>
      </c>
      <c r="C54" s="1" t="s">
        <v>10</v>
      </c>
      <c r="D54" s="1" t="s">
        <v>44</v>
      </c>
      <c r="E54" s="1" t="s">
        <v>12</v>
      </c>
      <c r="F54" s="1">
        <v>3</v>
      </c>
      <c r="G54" s="1">
        <v>1100</v>
      </c>
      <c r="H54" s="1">
        <v>650</v>
      </c>
      <c r="I54" s="1">
        <v>0.05</v>
      </c>
      <c r="J54" s="8" t="str">
        <f>IF(OR(tblSalesClean[[#This Row],[Quantity]]="",tblSalesClean[[#This Row],[Discount_Pct]]=""),"Incomplete","Complete")</f>
        <v>Complete</v>
      </c>
      <c r="K54" s="30">
        <f>IF(OR(tblSalesClean[[#This Row],[Quantity]]="",tblSalesClean[[#This Row],[Unit_Price_ZAR]]=""),"",tblSalesClean[[#This Row],[Quantity]]*tblSalesClean[[#This Row],[Unit_Price_ZAR]])</f>
        <v>3300</v>
      </c>
      <c r="L54" s="30">
        <f>IF(OR(tblSalesClean[[#This Row],[Gross_Revenue_ZAR]]="",tblSalesClean[[#This Row],[Discount_Pct]]=""),"",tblSalesClean[[#This Row],[Gross_Revenue_ZAR]]*(1-tblSalesClean[[#This Row],[Discount_Pct]]))</f>
        <v>3135</v>
      </c>
      <c r="M54" s="30">
        <f>IF(OR(tblSalesClean[[#This Row],[Net_Revenue_ZAR]]="",tblSalesClean[[#This Row],[Quantity]]="",tblSalesClean[[#This Row],[Unit_Cost_ZAR]]=""),"",tblSalesClean[[#This Row],[Net_Revenue_ZAR]]-(tblSalesClean[[#This Row],[Quantity]]*tblSalesClean[[#This Row],[Unit_Cost_ZAR]]))</f>
        <v>1185</v>
      </c>
    </row>
    <row r="55" spans="1:13" ht="13.5" x14ac:dyDescent="0.25">
      <c r="A55" s="1" t="s">
        <v>79</v>
      </c>
      <c r="B55" s="3">
        <v>45740</v>
      </c>
      <c r="C55" s="1" t="s">
        <v>27</v>
      </c>
      <c r="D55" s="1" t="s">
        <v>54</v>
      </c>
      <c r="E55" s="1" t="s">
        <v>15</v>
      </c>
      <c r="F55" s="1">
        <v>2</v>
      </c>
      <c r="G55" s="1">
        <v>3900</v>
      </c>
      <c r="H55" s="1">
        <v>2700</v>
      </c>
      <c r="I55" s="1">
        <v>0</v>
      </c>
      <c r="J55" s="8" t="str">
        <f>IF(OR(tblSalesClean[[#This Row],[Quantity]]="",tblSalesClean[[#This Row],[Discount_Pct]]=""),"Incomplete","Complete")</f>
        <v>Complete</v>
      </c>
      <c r="K55" s="30">
        <f>IF(OR(tblSalesClean[[#This Row],[Quantity]]="",tblSalesClean[[#This Row],[Unit_Price_ZAR]]=""),"",tblSalesClean[[#This Row],[Quantity]]*tblSalesClean[[#This Row],[Unit_Price_ZAR]])</f>
        <v>7800</v>
      </c>
      <c r="L55" s="30">
        <f>IF(OR(tblSalesClean[[#This Row],[Gross_Revenue_ZAR]]="",tblSalesClean[[#This Row],[Discount_Pct]]=""),"",tblSalesClean[[#This Row],[Gross_Revenue_ZAR]]*(1-tblSalesClean[[#This Row],[Discount_Pct]]))</f>
        <v>7800</v>
      </c>
      <c r="M55" s="30">
        <f>IF(OR(tblSalesClean[[#This Row],[Net_Revenue_ZAR]]="",tblSalesClean[[#This Row],[Quantity]]="",tblSalesClean[[#This Row],[Unit_Cost_ZAR]]=""),"",tblSalesClean[[#This Row],[Net_Revenue_ZAR]]-(tblSalesClean[[#This Row],[Quantity]]*tblSalesClean[[#This Row],[Unit_Cost_ZAR]]))</f>
        <v>2400</v>
      </c>
    </row>
    <row r="56" spans="1:13" ht="13.5" x14ac:dyDescent="0.25">
      <c r="A56" s="1" t="s">
        <v>80</v>
      </c>
      <c r="B56" s="3">
        <v>45703</v>
      </c>
      <c r="C56" s="1" t="s">
        <v>10</v>
      </c>
      <c r="D56" s="1" t="s">
        <v>22</v>
      </c>
      <c r="E56" s="1" t="s">
        <v>19</v>
      </c>
      <c r="F56" s="1">
        <v>1</v>
      </c>
      <c r="G56" s="1">
        <v>650</v>
      </c>
      <c r="H56" s="1">
        <v>340</v>
      </c>
      <c r="I56" s="1">
        <v>0</v>
      </c>
      <c r="J56" s="8" t="str">
        <f>IF(OR(tblSalesClean[[#This Row],[Quantity]]="",tblSalesClean[[#This Row],[Discount_Pct]]=""),"Incomplete","Complete")</f>
        <v>Complete</v>
      </c>
      <c r="K56" s="30">
        <f>IF(OR(tblSalesClean[[#This Row],[Quantity]]="",tblSalesClean[[#This Row],[Unit_Price_ZAR]]=""),"",tblSalesClean[[#This Row],[Quantity]]*tblSalesClean[[#This Row],[Unit_Price_ZAR]])</f>
        <v>650</v>
      </c>
      <c r="L56" s="30">
        <f>IF(OR(tblSalesClean[[#This Row],[Gross_Revenue_ZAR]]="",tblSalesClean[[#This Row],[Discount_Pct]]=""),"",tblSalesClean[[#This Row],[Gross_Revenue_ZAR]]*(1-tblSalesClean[[#This Row],[Discount_Pct]]))</f>
        <v>650</v>
      </c>
      <c r="M56" s="30">
        <f>IF(OR(tblSalesClean[[#This Row],[Net_Revenue_ZAR]]="",tblSalesClean[[#This Row],[Quantity]]="",tblSalesClean[[#This Row],[Unit_Cost_ZAR]]=""),"",tblSalesClean[[#This Row],[Net_Revenue_ZAR]]-(tblSalesClean[[#This Row],[Quantity]]*tblSalesClean[[#This Row],[Unit_Cost_ZAR]]))</f>
        <v>310</v>
      </c>
    </row>
    <row r="57" spans="1:13" ht="13.5" x14ac:dyDescent="0.25">
      <c r="A57" s="1" t="s">
        <v>81</v>
      </c>
      <c r="B57" s="3">
        <v>45818</v>
      </c>
      <c r="C57" s="1" t="s">
        <v>10</v>
      </c>
      <c r="D57" s="1" t="s">
        <v>14</v>
      </c>
      <c r="E57" s="1" t="s">
        <v>15</v>
      </c>
      <c r="F57" s="1">
        <v>1</v>
      </c>
      <c r="G57" s="1">
        <v>2100</v>
      </c>
      <c r="H57" s="1">
        <v>1350</v>
      </c>
      <c r="I57" s="1">
        <v>0</v>
      </c>
      <c r="J57" s="8" t="str">
        <f>IF(OR(tblSalesClean[[#This Row],[Quantity]]="",tblSalesClean[[#This Row],[Discount_Pct]]=""),"Incomplete","Complete")</f>
        <v>Complete</v>
      </c>
      <c r="K57" s="30">
        <f>IF(OR(tblSalesClean[[#This Row],[Quantity]]="",tblSalesClean[[#This Row],[Unit_Price_ZAR]]=""),"",tblSalesClean[[#This Row],[Quantity]]*tblSalesClean[[#This Row],[Unit_Price_ZAR]])</f>
        <v>2100</v>
      </c>
      <c r="L57" s="30">
        <f>IF(OR(tblSalesClean[[#This Row],[Gross_Revenue_ZAR]]="",tblSalesClean[[#This Row],[Discount_Pct]]=""),"",tblSalesClean[[#This Row],[Gross_Revenue_ZAR]]*(1-tblSalesClean[[#This Row],[Discount_Pct]]))</f>
        <v>2100</v>
      </c>
      <c r="M57" s="30">
        <f>IF(OR(tblSalesClean[[#This Row],[Net_Revenue_ZAR]]="",tblSalesClean[[#This Row],[Quantity]]="",tblSalesClean[[#This Row],[Unit_Cost_ZAR]]=""),"",tblSalesClean[[#This Row],[Net_Revenue_ZAR]]-(tblSalesClean[[#This Row],[Quantity]]*tblSalesClean[[#This Row],[Unit_Cost_ZAR]]))</f>
        <v>750</v>
      </c>
    </row>
    <row r="58" spans="1:13" ht="13.5" x14ac:dyDescent="0.25">
      <c r="A58" s="1" t="s">
        <v>82</v>
      </c>
      <c r="B58" s="3">
        <v>45874</v>
      </c>
      <c r="C58" s="1" t="s">
        <v>21</v>
      </c>
      <c r="D58" s="1" t="s">
        <v>18</v>
      </c>
      <c r="E58" s="1" t="s">
        <v>19</v>
      </c>
      <c r="F58" s="1">
        <v>6</v>
      </c>
      <c r="G58" s="1">
        <v>12500</v>
      </c>
      <c r="H58" s="1">
        <v>9400</v>
      </c>
      <c r="I58" s="1">
        <v>0</v>
      </c>
      <c r="J58" s="8" t="str">
        <f>IF(OR(tblSalesClean[[#This Row],[Quantity]]="",tblSalesClean[[#This Row],[Discount_Pct]]=""),"Incomplete","Complete")</f>
        <v>Complete</v>
      </c>
      <c r="K58" s="30">
        <f>IF(OR(tblSalesClean[[#This Row],[Quantity]]="",tblSalesClean[[#This Row],[Unit_Price_ZAR]]=""),"",tblSalesClean[[#This Row],[Quantity]]*tblSalesClean[[#This Row],[Unit_Price_ZAR]])</f>
        <v>75000</v>
      </c>
      <c r="L58" s="30">
        <f>IF(OR(tblSalesClean[[#This Row],[Gross_Revenue_ZAR]]="",tblSalesClean[[#This Row],[Discount_Pct]]=""),"",tblSalesClean[[#This Row],[Gross_Revenue_ZAR]]*(1-tblSalesClean[[#This Row],[Discount_Pct]]))</f>
        <v>75000</v>
      </c>
      <c r="M58" s="30">
        <f>IF(OR(tblSalesClean[[#This Row],[Net_Revenue_ZAR]]="",tblSalesClean[[#This Row],[Quantity]]="",tblSalesClean[[#This Row],[Unit_Cost_ZAR]]=""),"",tblSalesClean[[#This Row],[Net_Revenue_ZAR]]-(tblSalesClean[[#This Row],[Quantity]]*tblSalesClean[[#This Row],[Unit_Cost_ZAR]]))</f>
        <v>18600</v>
      </c>
    </row>
    <row r="59" spans="1:13" ht="13.5" x14ac:dyDescent="0.25">
      <c r="A59" s="1" t="s">
        <v>83</v>
      </c>
      <c r="B59" s="3">
        <v>45734</v>
      </c>
      <c r="C59" s="1" t="s">
        <v>21</v>
      </c>
      <c r="D59" s="1" t="s">
        <v>18</v>
      </c>
      <c r="E59" s="1" t="s">
        <v>19</v>
      </c>
      <c r="F59" s="1">
        <v>3</v>
      </c>
      <c r="G59" s="1">
        <v>12500</v>
      </c>
      <c r="H59" s="1">
        <v>9400</v>
      </c>
      <c r="I59" s="1">
        <v>0.1</v>
      </c>
      <c r="J59" s="8" t="str">
        <f>IF(OR(tblSalesClean[[#This Row],[Quantity]]="",tblSalesClean[[#This Row],[Discount_Pct]]=""),"Incomplete","Complete")</f>
        <v>Complete</v>
      </c>
      <c r="K59" s="30">
        <f>IF(OR(tblSalesClean[[#This Row],[Quantity]]="",tblSalesClean[[#This Row],[Unit_Price_ZAR]]=""),"",tblSalesClean[[#This Row],[Quantity]]*tblSalesClean[[#This Row],[Unit_Price_ZAR]])</f>
        <v>37500</v>
      </c>
      <c r="L59" s="30">
        <f>IF(OR(tblSalesClean[[#This Row],[Gross_Revenue_ZAR]]="",tblSalesClean[[#This Row],[Discount_Pct]]=""),"",tblSalesClean[[#This Row],[Gross_Revenue_ZAR]]*(1-tblSalesClean[[#This Row],[Discount_Pct]]))</f>
        <v>33750</v>
      </c>
      <c r="M59" s="30">
        <f>IF(OR(tblSalesClean[[#This Row],[Net_Revenue_ZAR]]="",tblSalesClean[[#This Row],[Quantity]]="",tblSalesClean[[#This Row],[Unit_Cost_ZAR]]=""),"",tblSalesClean[[#This Row],[Net_Revenue_ZAR]]-(tblSalesClean[[#This Row],[Quantity]]*tblSalesClean[[#This Row],[Unit_Cost_ZAR]]))</f>
        <v>5550</v>
      </c>
    </row>
    <row r="60" spans="1:13" ht="13.5" x14ac:dyDescent="0.25">
      <c r="A60" s="1" t="s">
        <v>84</v>
      </c>
      <c r="B60" s="3">
        <v>45835</v>
      </c>
      <c r="C60" s="1" t="s">
        <v>21</v>
      </c>
      <c r="D60" s="1" t="s">
        <v>14</v>
      </c>
      <c r="E60" s="1" t="s">
        <v>15</v>
      </c>
      <c r="F60" s="1">
        <v>4</v>
      </c>
      <c r="G60" s="1">
        <v>2100</v>
      </c>
      <c r="H60" s="1">
        <v>1350</v>
      </c>
      <c r="I60" s="1">
        <v>0.1</v>
      </c>
      <c r="J60" s="8" t="str">
        <f>IF(OR(tblSalesClean[[#This Row],[Quantity]]="",tblSalesClean[[#This Row],[Discount_Pct]]=""),"Incomplete","Complete")</f>
        <v>Complete</v>
      </c>
      <c r="K60" s="30">
        <f>IF(OR(tblSalesClean[[#This Row],[Quantity]]="",tblSalesClean[[#This Row],[Unit_Price_ZAR]]=""),"",tblSalesClean[[#This Row],[Quantity]]*tblSalesClean[[#This Row],[Unit_Price_ZAR]])</f>
        <v>8400</v>
      </c>
      <c r="L60" s="30">
        <f>IF(OR(tblSalesClean[[#This Row],[Gross_Revenue_ZAR]]="",tblSalesClean[[#This Row],[Discount_Pct]]=""),"",tblSalesClean[[#This Row],[Gross_Revenue_ZAR]]*(1-tblSalesClean[[#This Row],[Discount_Pct]]))</f>
        <v>7560</v>
      </c>
      <c r="M60" s="30">
        <f>IF(OR(tblSalesClean[[#This Row],[Net_Revenue_ZAR]]="",tblSalesClean[[#This Row],[Quantity]]="",tblSalesClean[[#This Row],[Unit_Cost_ZAR]]=""),"",tblSalesClean[[#This Row],[Net_Revenue_ZAR]]-(tblSalesClean[[#This Row],[Quantity]]*tblSalesClean[[#This Row],[Unit_Cost_ZAR]]))</f>
        <v>2160</v>
      </c>
    </row>
    <row r="61" spans="1:13" ht="13.5" x14ac:dyDescent="0.25">
      <c r="A61" s="1" t="s">
        <v>85</v>
      </c>
      <c r="B61" s="3">
        <v>45905</v>
      </c>
      <c r="C61" s="1" t="s">
        <v>17</v>
      </c>
      <c r="D61" s="1" t="s">
        <v>11</v>
      </c>
      <c r="E61" s="8" t="s">
        <v>19</v>
      </c>
      <c r="F61" s="1">
        <v>6</v>
      </c>
      <c r="G61" s="1">
        <v>1850</v>
      </c>
      <c r="H61" s="1">
        <v>1200</v>
      </c>
      <c r="I61" s="1">
        <v>0.15</v>
      </c>
      <c r="J61" s="8" t="str">
        <f>IF(OR(tblSalesClean[[#This Row],[Quantity]]="",tblSalesClean[[#This Row],[Discount_Pct]]=""),"Incomplete","Complete")</f>
        <v>Complete</v>
      </c>
      <c r="K61" s="30">
        <f>IF(OR(tblSalesClean[[#This Row],[Quantity]]="",tblSalesClean[[#This Row],[Unit_Price_ZAR]]=""),"",tblSalesClean[[#This Row],[Quantity]]*tblSalesClean[[#This Row],[Unit_Price_ZAR]])</f>
        <v>11100</v>
      </c>
      <c r="L61" s="30">
        <f>IF(OR(tblSalesClean[[#This Row],[Gross_Revenue_ZAR]]="",tblSalesClean[[#This Row],[Discount_Pct]]=""),"",tblSalesClean[[#This Row],[Gross_Revenue_ZAR]]*(1-tblSalesClean[[#This Row],[Discount_Pct]]))</f>
        <v>9435</v>
      </c>
      <c r="M61" s="30">
        <f>IF(OR(tblSalesClean[[#This Row],[Net_Revenue_ZAR]]="",tblSalesClean[[#This Row],[Quantity]]="",tblSalesClean[[#This Row],[Unit_Cost_ZAR]]=""),"",tblSalesClean[[#This Row],[Net_Revenue_ZAR]]-(tblSalesClean[[#This Row],[Quantity]]*tblSalesClean[[#This Row],[Unit_Cost_ZAR]]))</f>
        <v>2235</v>
      </c>
    </row>
    <row r="62" spans="1:13" ht="13.5" x14ac:dyDescent="0.25">
      <c r="A62" s="1" t="s">
        <v>87</v>
      </c>
      <c r="B62" s="3">
        <v>46017</v>
      </c>
      <c r="C62" s="1" t="s">
        <v>10</v>
      </c>
      <c r="D62" s="1" t="s">
        <v>44</v>
      </c>
      <c r="E62" s="1" t="s">
        <v>12</v>
      </c>
      <c r="F62" s="1">
        <v>6</v>
      </c>
      <c r="G62" s="1">
        <v>1100</v>
      </c>
      <c r="H62" s="1">
        <v>650</v>
      </c>
      <c r="I62" s="1">
        <v>0</v>
      </c>
      <c r="J62" s="8" t="str">
        <f>IF(OR(tblSalesClean[[#This Row],[Quantity]]="",tblSalesClean[[#This Row],[Discount_Pct]]=""),"Incomplete","Complete")</f>
        <v>Complete</v>
      </c>
      <c r="K62" s="30">
        <f>IF(OR(tblSalesClean[[#This Row],[Quantity]]="",tblSalesClean[[#This Row],[Unit_Price_ZAR]]=""),"",tblSalesClean[[#This Row],[Quantity]]*tblSalesClean[[#This Row],[Unit_Price_ZAR]])</f>
        <v>6600</v>
      </c>
      <c r="L62" s="30">
        <f>IF(OR(tblSalesClean[[#This Row],[Gross_Revenue_ZAR]]="",tblSalesClean[[#This Row],[Discount_Pct]]=""),"",tblSalesClean[[#This Row],[Gross_Revenue_ZAR]]*(1-tblSalesClean[[#This Row],[Discount_Pct]]))</f>
        <v>6600</v>
      </c>
      <c r="M62" s="30">
        <f>IF(OR(tblSalesClean[[#This Row],[Net_Revenue_ZAR]]="",tblSalesClean[[#This Row],[Quantity]]="",tblSalesClean[[#This Row],[Unit_Cost_ZAR]]=""),"",tblSalesClean[[#This Row],[Net_Revenue_ZAR]]-(tblSalesClean[[#This Row],[Quantity]]*tblSalesClean[[#This Row],[Unit_Cost_ZAR]]))</f>
        <v>2700</v>
      </c>
    </row>
    <row r="63" spans="1:13" ht="13.5" x14ac:dyDescent="0.25">
      <c r="A63" s="1" t="s">
        <v>88</v>
      </c>
      <c r="B63" s="3">
        <v>45671</v>
      </c>
      <c r="C63" s="1" t="s">
        <v>27</v>
      </c>
      <c r="D63" s="1" t="s">
        <v>28</v>
      </c>
      <c r="E63" s="1" t="s">
        <v>15</v>
      </c>
      <c r="F63" s="1">
        <v>5</v>
      </c>
      <c r="G63" s="1">
        <v>2800</v>
      </c>
      <c r="H63" s="1">
        <v>1900</v>
      </c>
      <c r="I63" s="1">
        <v>0</v>
      </c>
      <c r="J63" s="8" t="str">
        <f>IF(OR(tblSalesClean[[#This Row],[Quantity]]="",tblSalesClean[[#This Row],[Discount_Pct]]=""),"Incomplete","Complete")</f>
        <v>Complete</v>
      </c>
      <c r="K63" s="30">
        <f>IF(OR(tblSalesClean[[#This Row],[Quantity]]="",tblSalesClean[[#This Row],[Unit_Price_ZAR]]=""),"",tblSalesClean[[#This Row],[Quantity]]*tblSalesClean[[#This Row],[Unit_Price_ZAR]])</f>
        <v>14000</v>
      </c>
      <c r="L63" s="30">
        <f>IF(OR(tblSalesClean[[#This Row],[Gross_Revenue_ZAR]]="",tblSalesClean[[#This Row],[Discount_Pct]]=""),"",tblSalesClean[[#This Row],[Gross_Revenue_ZAR]]*(1-tblSalesClean[[#This Row],[Discount_Pct]]))</f>
        <v>14000</v>
      </c>
      <c r="M63" s="30">
        <f>IF(OR(tblSalesClean[[#This Row],[Net_Revenue_ZAR]]="",tblSalesClean[[#This Row],[Quantity]]="",tblSalesClean[[#This Row],[Unit_Cost_ZAR]]=""),"",tblSalesClean[[#This Row],[Net_Revenue_ZAR]]-(tblSalesClean[[#This Row],[Quantity]]*tblSalesClean[[#This Row],[Unit_Cost_ZAR]]))</f>
        <v>4500</v>
      </c>
    </row>
    <row r="64" spans="1:13" ht="13.5" x14ac:dyDescent="0.25">
      <c r="A64" s="1" t="s">
        <v>89</v>
      </c>
      <c r="B64" s="3">
        <v>45998</v>
      </c>
      <c r="C64" s="1" t="s">
        <v>10</v>
      </c>
      <c r="D64" s="1" t="s">
        <v>28</v>
      </c>
      <c r="E64" s="1" t="s">
        <v>15</v>
      </c>
      <c r="F64" s="1">
        <v>3</v>
      </c>
      <c r="G64" s="1">
        <v>2800</v>
      </c>
      <c r="H64" s="1">
        <v>1900</v>
      </c>
      <c r="I64" s="1">
        <v>0</v>
      </c>
      <c r="J64" s="8" t="str">
        <f>IF(OR(tblSalesClean[[#This Row],[Quantity]]="",tblSalesClean[[#This Row],[Discount_Pct]]=""),"Incomplete","Complete")</f>
        <v>Complete</v>
      </c>
      <c r="K64" s="30">
        <f>IF(OR(tblSalesClean[[#This Row],[Quantity]]="",tblSalesClean[[#This Row],[Unit_Price_ZAR]]=""),"",tblSalesClean[[#This Row],[Quantity]]*tblSalesClean[[#This Row],[Unit_Price_ZAR]])</f>
        <v>8400</v>
      </c>
      <c r="L64" s="30">
        <f>IF(OR(tblSalesClean[[#This Row],[Gross_Revenue_ZAR]]="",tblSalesClean[[#This Row],[Discount_Pct]]=""),"",tblSalesClean[[#This Row],[Gross_Revenue_ZAR]]*(1-tblSalesClean[[#This Row],[Discount_Pct]]))</f>
        <v>8400</v>
      </c>
      <c r="M64" s="30">
        <f>IF(OR(tblSalesClean[[#This Row],[Net_Revenue_ZAR]]="",tblSalesClean[[#This Row],[Quantity]]="",tblSalesClean[[#This Row],[Unit_Cost_ZAR]]=""),"",tblSalesClean[[#This Row],[Net_Revenue_ZAR]]-(tblSalesClean[[#This Row],[Quantity]]*tblSalesClean[[#This Row],[Unit_Cost_ZAR]]))</f>
        <v>2700</v>
      </c>
    </row>
    <row r="65" spans="1:13" ht="13.5" x14ac:dyDescent="0.25">
      <c r="A65" s="1" t="s">
        <v>90</v>
      </c>
      <c r="B65" s="3">
        <v>45796</v>
      </c>
      <c r="C65" s="1" t="s">
        <v>10</v>
      </c>
      <c r="D65" s="1" t="s">
        <v>14</v>
      </c>
      <c r="E65" s="1" t="s">
        <v>15</v>
      </c>
      <c r="F65" s="1">
        <v>1</v>
      </c>
      <c r="G65" s="1">
        <v>2100</v>
      </c>
      <c r="H65" s="1">
        <v>1350</v>
      </c>
      <c r="I65" s="1">
        <v>0</v>
      </c>
      <c r="J65" s="8" t="str">
        <f>IF(OR(tblSalesClean[[#This Row],[Quantity]]="",tblSalesClean[[#This Row],[Discount_Pct]]=""),"Incomplete","Complete")</f>
        <v>Complete</v>
      </c>
      <c r="K65" s="30">
        <f>IF(OR(tblSalesClean[[#This Row],[Quantity]]="",tblSalesClean[[#This Row],[Unit_Price_ZAR]]=""),"",tblSalesClean[[#This Row],[Quantity]]*tblSalesClean[[#This Row],[Unit_Price_ZAR]])</f>
        <v>2100</v>
      </c>
      <c r="L65" s="30">
        <f>IF(OR(tblSalesClean[[#This Row],[Gross_Revenue_ZAR]]="",tblSalesClean[[#This Row],[Discount_Pct]]=""),"",tblSalesClean[[#This Row],[Gross_Revenue_ZAR]]*(1-tblSalesClean[[#This Row],[Discount_Pct]]))</f>
        <v>2100</v>
      </c>
      <c r="M65" s="30">
        <f>IF(OR(tblSalesClean[[#This Row],[Net_Revenue_ZAR]]="",tblSalesClean[[#This Row],[Quantity]]="",tblSalesClean[[#This Row],[Unit_Cost_ZAR]]=""),"",tblSalesClean[[#This Row],[Net_Revenue_ZAR]]-(tblSalesClean[[#This Row],[Quantity]]*tblSalesClean[[#This Row],[Unit_Cost_ZAR]]))</f>
        <v>750</v>
      </c>
    </row>
    <row r="66" spans="1:13" ht="13.5" x14ac:dyDescent="0.25">
      <c r="A66" s="1" t="s">
        <v>91</v>
      </c>
      <c r="B66" s="3">
        <v>45737</v>
      </c>
      <c r="C66" s="1" t="s">
        <v>17</v>
      </c>
      <c r="D66" s="1" t="s">
        <v>14</v>
      </c>
      <c r="E66" s="1" t="s">
        <v>15</v>
      </c>
      <c r="F66" s="1">
        <v>5</v>
      </c>
      <c r="G66" s="1">
        <v>2100</v>
      </c>
      <c r="H66" s="1">
        <v>1350</v>
      </c>
      <c r="I66" s="1">
        <v>0.1</v>
      </c>
      <c r="J66" s="8" t="str">
        <f>IF(OR(tblSalesClean[[#This Row],[Quantity]]="",tblSalesClean[[#This Row],[Discount_Pct]]=""),"Incomplete","Complete")</f>
        <v>Complete</v>
      </c>
      <c r="K66" s="30">
        <f>IF(OR(tblSalesClean[[#This Row],[Quantity]]="",tblSalesClean[[#This Row],[Unit_Price_ZAR]]=""),"",tblSalesClean[[#This Row],[Quantity]]*tblSalesClean[[#This Row],[Unit_Price_ZAR]])</f>
        <v>10500</v>
      </c>
      <c r="L66" s="30">
        <f>IF(OR(tblSalesClean[[#This Row],[Gross_Revenue_ZAR]]="",tblSalesClean[[#This Row],[Discount_Pct]]=""),"",tblSalesClean[[#This Row],[Gross_Revenue_ZAR]]*(1-tblSalesClean[[#This Row],[Discount_Pct]]))</f>
        <v>9450</v>
      </c>
      <c r="M66" s="30">
        <f>IF(OR(tblSalesClean[[#This Row],[Net_Revenue_ZAR]]="",tblSalesClean[[#This Row],[Quantity]]="",tblSalesClean[[#This Row],[Unit_Cost_ZAR]]=""),"",tblSalesClean[[#This Row],[Net_Revenue_ZAR]]-(tblSalesClean[[#This Row],[Quantity]]*tblSalesClean[[#This Row],[Unit_Cost_ZAR]]))</f>
        <v>2700</v>
      </c>
    </row>
    <row r="67" spans="1:13" ht="13.5" x14ac:dyDescent="0.25">
      <c r="A67" s="1" t="s">
        <v>92</v>
      </c>
      <c r="B67" s="3">
        <v>45849</v>
      </c>
      <c r="C67" s="1" t="s">
        <v>17</v>
      </c>
      <c r="D67" s="1" t="s">
        <v>18</v>
      </c>
      <c r="E67" s="1" t="s">
        <v>19</v>
      </c>
      <c r="F67" s="1">
        <v>2</v>
      </c>
      <c r="G67" s="1">
        <v>12500</v>
      </c>
      <c r="H67" s="1">
        <v>9400</v>
      </c>
      <c r="I67" s="1">
        <v>0</v>
      </c>
      <c r="J67" s="8" t="str">
        <f>IF(OR(tblSalesClean[[#This Row],[Quantity]]="",tblSalesClean[[#This Row],[Discount_Pct]]=""),"Incomplete","Complete")</f>
        <v>Complete</v>
      </c>
      <c r="K67" s="30">
        <f>IF(OR(tblSalesClean[[#This Row],[Quantity]]="",tblSalesClean[[#This Row],[Unit_Price_ZAR]]=""),"",tblSalesClean[[#This Row],[Quantity]]*tblSalesClean[[#This Row],[Unit_Price_ZAR]])</f>
        <v>25000</v>
      </c>
      <c r="L67" s="30">
        <f>IF(OR(tblSalesClean[[#This Row],[Gross_Revenue_ZAR]]="",tblSalesClean[[#This Row],[Discount_Pct]]=""),"",tblSalesClean[[#This Row],[Gross_Revenue_ZAR]]*(1-tblSalesClean[[#This Row],[Discount_Pct]]))</f>
        <v>25000</v>
      </c>
      <c r="M67" s="30">
        <f>IF(OR(tblSalesClean[[#This Row],[Net_Revenue_ZAR]]="",tblSalesClean[[#This Row],[Quantity]]="",tblSalesClean[[#This Row],[Unit_Cost_ZAR]]=""),"",tblSalesClean[[#This Row],[Net_Revenue_ZAR]]-(tblSalesClean[[#This Row],[Quantity]]*tblSalesClean[[#This Row],[Unit_Cost_ZAR]]))</f>
        <v>6200</v>
      </c>
    </row>
    <row r="68" spans="1:13" ht="13.5" x14ac:dyDescent="0.25">
      <c r="A68" s="1" t="s">
        <v>93</v>
      </c>
      <c r="B68" s="3">
        <v>45965</v>
      </c>
      <c r="C68" s="1" t="s">
        <v>21</v>
      </c>
      <c r="D68" s="1" t="s">
        <v>11</v>
      </c>
      <c r="E68" s="1" t="s">
        <v>12</v>
      </c>
      <c r="F68" s="1">
        <v>4</v>
      </c>
      <c r="G68" s="1">
        <v>1850</v>
      </c>
      <c r="H68" s="1">
        <v>1200</v>
      </c>
      <c r="I68" s="1">
        <v>0.05</v>
      </c>
      <c r="J68" s="8" t="str">
        <f>IF(OR(tblSalesClean[[#This Row],[Quantity]]="",tblSalesClean[[#This Row],[Discount_Pct]]=""),"Incomplete","Complete")</f>
        <v>Complete</v>
      </c>
      <c r="K68" s="30">
        <f>IF(OR(tblSalesClean[[#This Row],[Quantity]]="",tblSalesClean[[#This Row],[Unit_Price_ZAR]]=""),"",tblSalesClean[[#This Row],[Quantity]]*tblSalesClean[[#This Row],[Unit_Price_ZAR]])</f>
        <v>7400</v>
      </c>
      <c r="L68" s="30">
        <f>IF(OR(tblSalesClean[[#This Row],[Gross_Revenue_ZAR]]="",tblSalesClean[[#This Row],[Discount_Pct]]=""),"",tblSalesClean[[#This Row],[Gross_Revenue_ZAR]]*(1-tblSalesClean[[#This Row],[Discount_Pct]]))</f>
        <v>7030</v>
      </c>
      <c r="M68" s="30">
        <f>IF(OR(tblSalesClean[[#This Row],[Net_Revenue_ZAR]]="",tblSalesClean[[#This Row],[Quantity]]="",tblSalesClean[[#This Row],[Unit_Cost_ZAR]]=""),"",tblSalesClean[[#This Row],[Net_Revenue_ZAR]]-(tblSalesClean[[#This Row],[Quantity]]*tblSalesClean[[#This Row],[Unit_Cost_ZAR]]))</f>
        <v>2230</v>
      </c>
    </row>
    <row r="69" spans="1:13" ht="13.5" x14ac:dyDescent="0.25">
      <c r="A69" s="1" t="s">
        <v>94</v>
      </c>
      <c r="B69" s="3">
        <v>45677</v>
      </c>
      <c r="C69" s="1" t="s">
        <v>27</v>
      </c>
      <c r="D69" s="1" t="s">
        <v>28</v>
      </c>
      <c r="E69" s="1" t="s">
        <v>15</v>
      </c>
      <c r="F69" s="1">
        <v>1</v>
      </c>
      <c r="G69" s="1">
        <v>2800</v>
      </c>
      <c r="H69" s="1">
        <v>1900</v>
      </c>
      <c r="I69" s="1">
        <v>0</v>
      </c>
      <c r="J69" s="8" t="str">
        <f>IF(OR(tblSalesClean[[#This Row],[Quantity]]="",tblSalesClean[[#This Row],[Discount_Pct]]=""),"Incomplete","Complete")</f>
        <v>Complete</v>
      </c>
      <c r="K69" s="30">
        <f>IF(OR(tblSalesClean[[#This Row],[Quantity]]="",tblSalesClean[[#This Row],[Unit_Price_ZAR]]=""),"",tblSalesClean[[#This Row],[Quantity]]*tblSalesClean[[#This Row],[Unit_Price_ZAR]])</f>
        <v>2800</v>
      </c>
      <c r="L69" s="30">
        <f>IF(OR(tblSalesClean[[#This Row],[Gross_Revenue_ZAR]]="",tblSalesClean[[#This Row],[Discount_Pct]]=""),"",tblSalesClean[[#This Row],[Gross_Revenue_ZAR]]*(1-tblSalesClean[[#This Row],[Discount_Pct]]))</f>
        <v>2800</v>
      </c>
      <c r="M69" s="30">
        <f>IF(OR(tblSalesClean[[#This Row],[Net_Revenue_ZAR]]="",tblSalesClean[[#This Row],[Quantity]]="",tblSalesClean[[#This Row],[Unit_Cost_ZAR]]=""),"",tblSalesClean[[#This Row],[Net_Revenue_ZAR]]-(tblSalesClean[[#This Row],[Quantity]]*tblSalesClean[[#This Row],[Unit_Cost_ZAR]]))</f>
        <v>900</v>
      </c>
    </row>
    <row r="70" spans="1:13" ht="13.5" x14ac:dyDescent="0.25">
      <c r="A70" s="1" t="s">
        <v>95</v>
      </c>
      <c r="B70" s="3">
        <v>45668</v>
      </c>
      <c r="C70" s="1" t="s">
        <v>10</v>
      </c>
      <c r="D70" s="1" t="s">
        <v>54</v>
      </c>
      <c r="E70" s="1" t="s">
        <v>15</v>
      </c>
      <c r="F70" s="1">
        <v>4</v>
      </c>
      <c r="G70" s="1">
        <v>3900</v>
      </c>
      <c r="H70" s="1">
        <v>2700</v>
      </c>
      <c r="I70" s="1">
        <v>0.15</v>
      </c>
      <c r="J70" s="8" t="str">
        <f>IF(OR(tblSalesClean[[#This Row],[Quantity]]="",tblSalesClean[[#This Row],[Discount_Pct]]=""),"Incomplete","Complete")</f>
        <v>Complete</v>
      </c>
      <c r="K70" s="30">
        <f>IF(OR(tblSalesClean[[#This Row],[Quantity]]="",tblSalesClean[[#This Row],[Unit_Price_ZAR]]=""),"",tblSalesClean[[#This Row],[Quantity]]*tblSalesClean[[#This Row],[Unit_Price_ZAR]])</f>
        <v>15600</v>
      </c>
      <c r="L70" s="30">
        <f>IF(OR(tblSalesClean[[#This Row],[Gross_Revenue_ZAR]]="",tblSalesClean[[#This Row],[Discount_Pct]]=""),"",tblSalesClean[[#This Row],[Gross_Revenue_ZAR]]*(1-tblSalesClean[[#This Row],[Discount_Pct]]))</f>
        <v>13260</v>
      </c>
      <c r="M70" s="30">
        <f>IF(OR(tblSalesClean[[#This Row],[Net_Revenue_ZAR]]="",tblSalesClean[[#This Row],[Quantity]]="",tblSalesClean[[#This Row],[Unit_Cost_ZAR]]=""),"",tblSalesClean[[#This Row],[Net_Revenue_ZAR]]-(tblSalesClean[[#This Row],[Quantity]]*tblSalesClean[[#This Row],[Unit_Cost_ZAR]]))</f>
        <v>2460</v>
      </c>
    </row>
    <row r="71" spans="1:13" ht="13.5" x14ac:dyDescent="0.25">
      <c r="A71" s="1" t="s">
        <v>96</v>
      </c>
      <c r="B71" s="3">
        <v>45919</v>
      </c>
      <c r="C71" s="1" t="s">
        <v>17</v>
      </c>
      <c r="D71" s="1" t="s">
        <v>25</v>
      </c>
      <c r="E71" s="1" t="s">
        <v>19</v>
      </c>
      <c r="F71" s="1">
        <v>4</v>
      </c>
      <c r="G71" s="1">
        <v>3400</v>
      </c>
      <c r="H71" s="1">
        <v>2300</v>
      </c>
      <c r="I71" s="1">
        <v>0.1</v>
      </c>
      <c r="J71" s="8" t="str">
        <f>IF(OR(tblSalesClean[[#This Row],[Quantity]]="",tblSalesClean[[#This Row],[Discount_Pct]]=""),"Incomplete","Complete")</f>
        <v>Complete</v>
      </c>
      <c r="K71" s="30">
        <f>IF(OR(tblSalesClean[[#This Row],[Quantity]]="",tblSalesClean[[#This Row],[Unit_Price_ZAR]]=""),"",tblSalesClean[[#This Row],[Quantity]]*tblSalesClean[[#This Row],[Unit_Price_ZAR]])</f>
        <v>13600</v>
      </c>
      <c r="L71" s="30">
        <f>IF(OR(tblSalesClean[[#This Row],[Gross_Revenue_ZAR]]="",tblSalesClean[[#This Row],[Discount_Pct]]=""),"",tblSalesClean[[#This Row],[Gross_Revenue_ZAR]]*(1-tblSalesClean[[#This Row],[Discount_Pct]]))</f>
        <v>12240</v>
      </c>
      <c r="M71" s="30">
        <f>IF(OR(tblSalesClean[[#This Row],[Net_Revenue_ZAR]]="",tblSalesClean[[#This Row],[Quantity]]="",tblSalesClean[[#This Row],[Unit_Cost_ZAR]]=""),"",tblSalesClean[[#This Row],[Net_Revenue_ZAR]]-(tblSalesClean[[#This Row],[Quantity]]*tblSalesClean[[#This Row],[Unit_Cost_ZAR]]))</f>
        <v>3040</v>
      </c>
    </row>
    <row r="72" spans="1:13" ht="13.5" x14ac:dyDescent="0.25">
      <c r="A72" s="1" t="s">
        <v>97</v>
      </c>
      <c r="B72" s="3">
        <v>45719</v>
      </c>
      <c r="C72" s="1" t="s">
        <v>17</v>
      </c>
      <c r="D72" s="1" t="s">
        <v>18</v>
      </c>
      <c r="E72" s="1" t="s">
        <v>19</v>
      </c>
      <c r="F72" s="1">
        <v>4</v>
      </c>
      <c r="G72" s="1">
        <v>12500</v>
      </c>
      <c r="H72" s="1">
        <v>9400</v>
      </c>
      <c r="I72" s="1">
        <v>0.15</v>
      </c>
      <c r="J72" s="8" t="str">
        <f>IF(OR(tblSalesClean[[#This Row],[Quantity]]="",tblSalesClean[[#This Row],[Discount_Pct]]=""),"Incomplete","Complete")</f>
        <v>Complete</v>
      </c>
      <c r="K72" s="30">
        <f>IF(OR(tblSalesClean[[#This Row],[Quantity]]="",tblSalesClean[[#This Row],[Unit_Price_ZAR]]=""),"",tblSalesClean[[#This Row],[Quantity]]*tblSalesClean[[#This Row],[Unit_Price_ZAR]])</f>
        <v>50000</v>
      </c>
      <c r="L72" s="30">
        <f>IF(OR(tblSalesClean[[#This Row],[Gross_Revenue_ZAR]]="",tblSalesClean[[#This Row],[Discount_Pct]]=""),"",tblSalesClean[[#This Row],[Gross_Revenue_ZAR]]*(1-tblSalesClean[[#This Row],[Discount_Pct]]))</f>
        <v>42500</v>
      </c>
      <c r="M72" s="30">
        <f>IF(OR(tblSalesClean[[#This Row],[Net_Revenue_ZAR]]="",tblSalesClean[[#This Row],[Quantity]]="",tblSalesClean[[#This Row],[Unit_Cost_ZAR]]=""),"",tblSalesClean[[#This Row],[Net_Revenue_ZAR]]-(tblSalesClean[[#This Row],[Quantity]]*tblSalesClean[[#This Row],[Unit_Cost_ZAR]]))</f>
        <v>4900</v>
      </c>
    </row>
    <row r="73" spans="1:13" ht="13.5" x14ac:dyDescent="0.25">
      <c r="A73" s="1" t="s">
        <v>98</v>
      </c>
      <c r="B73" s="3">
        <v>45939</v>
      </c>
      <c r="C73" s="1" t="s">
        <v>27</v>
      </c>
      <c r="D73" s="1" t="s">
        <v>25</v>
      </c>
      <c r="E73" s="1" t="s">
        <v>19</v>
      </c>
      <c r="F73" s="1">
        <v>6</v>
      </c>
      <c r="G73" s="1">
        <v>3400</v>
      </c>
      <c r="H73" s="1">
        <v>2300</v>
      </c>
      <c r="I73" s="1">
        <v>0</v>
      </c>
      <c r="J73" s="8" t="str">
        <f>IF(OR(tblSalesClean[[#This Row],[Quantity]]="",tblSalesClean[[#This Row],[Discount_Pct]]=""),"Incomplete","Complete")</f>
        <v>Complete</v>
      </c>
      <c r="K73" s="30">
        <f>IF(OR(tblSalesClean[[#This Row],[Quantity]]="",tblSalesClean[[#This Row],[Unit_Price_ZAR]]=""),"",tblSalesClean[[#This Row],[Quantity]]*tblSalesClean[[#This Row],[Unit_Price_ZAR]])</f>
        <v>20400</v>
      </c>
      <c r="L73" s="30">
        <f>IF(OR(tblSalesClean[[#This Row],[Gross_Revenue_ZAR]]="",tblSalesClean[[#This Row],[Discount_Pct]]=""),"",tblSalesClean[[#This Row],[Gross_Revenue_ZAR]]*(1-tblSalesClean[[#This Row],[Discount_Pct]]))</f>
        <v>20400</v>
      </c>
      <c r="M73" s="30">
        <f>IF(OR(tblSalesClean[[#This Row],[Net_Revenue_ZAR]]="",tblSalesClean[[#This Row],[Quantity]]="",tblSalesClean[[#This Row],[Unit_Cost_ZAR]]=""),"",tblSalesClean[[#This Row],[Net_Revenue_ZAR]]-(tblSalesClean[[#This Row],[Quantity]]*tblSalesClean[[#This Row],[Unit_Cost_ZAR]]))</f>
        <v>6600</v>
      </c>
    </row>
    <row r="74" spans="1:13" ht="13.5" x14ac:dyDescent="0.25">
      <c r="A74" s="1" t="s">
        <v>99</v>
      </c>
      <c r="B74" s="3">
        <v>45702</v>
      </c>
      <c r="C74" s="1" t="s">
        <v>21</v>
      </c>
      <c r="D74" s="1" t="s">
        <v>18</v>
      </c>
      <c r="E74" s="1" t="s">
        <v>19</v>
      </c>
      <c r="F74" s="1">
        <v>5</v>
      </c>
      <c r="G74" s="1">
        <v>12500</v>
      </c>
      <c r="H74" s="1">
        <v>9400</v>
      </c>
      <c r="I74" s="1">
        <v>0</v>
      </c>
      <c r="J74" s="8" t="str">
        <f>IF(OR(tblSalesClean[[#This Row],[Quantity]]="",tblSalesClean[[#This Row],[Discount_Pct]]=""),"Incomplete","Complete")</f>
        <v>Complete</v>
      </c>
      <c r="K74" s="30">
        <f>IF(OR(tblSalesClean[[#This Row],[Quantity]]="",tblSalesClean[[#This Row],[Unit_Price_ZAR]]=""),"",tblSalesClean[[#This Row],[Quantity]]*tblSalesClean[[#This Row],[Unit_Price_ZAR]])</f>
        <v>62500</v>
      </c>
      <c r="L74" s="30">
        <f>IF(OR(tblSalesClean[[#This Row],[Gross_Revenue_ZAR]]="",tblSalesClean[[#This Row],[Discount_Pct]]=""),"",tblSalesClean[[#This Row],[Gross_Revenue_ZAR]]*(1-tblSalesClean[[#This Row],[Discount_Pct]]))</f>
        <v>62500</v>
      </c>
      <c r="M74" s="30">
        <f>IF(OR(tblSalesClean[[#This Row],[Net_Revenue_ZAR]]="",tblSalesClean[[#This Row],[Quantity]]="",tblSalesClean[[#This Row],[Unit_Cost_ZAR]]=""),"",tblSalesClean[[#This Row],[Net_Revenue_ZAR]]-(tblSalesClean[[#This Row],[Quantity]]*tblSalesClean[[#This Row],[Unit_Cost_ZAR]]))</f>
        <v>15500</v>
      </c>
    </row>
    <row r="75" spans="1:13" ht="13.5" x14ac:dyDescent="0.25">
      <c r="A75" s="1" t="s">
        <v>100</v>
      </c>
      <c r="B75" s="3">
        <v>45878</v>
      </c>
      <c r="C75" s="1" t="s">
        <v>10</v>
      </c>
      <c r="D75" s="1" t="s">
        <v>63</v>
      </c>
      <c r="E75" s="1" t="s">
        <v>12</v>
      </c>
      <c r="F75" s="1">
        <v>1</v>
      </c>
      <c r="G75" s="1">
        <v>520</v>
      </c>
      <c r="H75" s="1">
        <v>290</v>
      </c>
      <c r="I75" s="1">
        <v>0</v>
      </c>
      <c r="J75" s="8" t="str">
        <f>IF(OR(tblSalesClean[[#This Row],[Quantity]]="",tblSalesClean[[#This Row],[Discount_Pct]]=""),"Incomplete","Complete")</f>
        <v>Complete</v>
      </c>
      <c r="K75" s="30">
        <f>IF(OR(tblSalesClean[[#This Row],[Quantity]]="",tblSalesClean[[#This Row],[Unit_Price_ZAR]]=""),"",tblSalesClean[[#This Row],[Quantity]]*tblSalesClean[[#This Row],[Unit_Price_ZAR]])</f>
        <v>520</v>
      </c>
      <c r="L75" s="30">
        <f>IF(OR(tblSalesClean[[#This Row],[Gross_Revenue_ZAR]]="",tblSalesClean[[#This Row],[Discount_Pct]]=""),"",tblSalesClean[[#This Row],[Gross_Revenue_ZAR]]*(1-tblSalesClean[[#This Row],[Discount_Pct]]))</f>
        <v>520</v>
      </c>
      <c r="M75" s="30">
        <f>IF(OR(tblSalesClean[[#This Row],[Net_Revenue_ZAR]]="",tblSalesClean[[#This Row],[Quantity]]="",tblSalesClean[[#This Row],[Unit_Cost_ZAR]]=""),"",tblSalesClean[[#This Row],[Net_Revenue_ZAR]]-(tblSalesClean[[#This Row],[Quantity]]*tblSalesClean[[#This Row],[Unit_Cost_ZAR]]))</f>
        <v>230</v>
      </c>
    </row>
    <row r="76" spans="1:13" ht="13.5" x14ac:dyDescent="0.25">
      <c r="A76" s="1" t="s">
        <v>101</v>
      </c>
      <c r="B76" s="3">
        <v>45933</v>
      </c>
      <c r="C76" s="1" t="s">
        <v>17</v>
      </c>
      <c r="D76" s="1" t="s">
        <v>25</v>
      </c>
      <c r="E76" s="1" t="s">
        <v>19</v>
      </c>
      <c r="F76" s="1">
        <v>3</v>
      </c>
      <c r="G76" s="1">
        <v>3400</v>
      </c>
      <c r="H76" s="1">
        <v>2300</v>
      </c>
      <c r="I76" s="1">
        <v>0.05</v>
      </c>
      <c r="J76" s="8" t="str">
        <f>IF(OR(tblSalesClean[[#This Row],[Quantity]]="",tblSalesClean[[#This Row],[Discount_Pct]]=""),"Incomplete","Complete")</f>
        <v>Complete</v>
      </c>
      <c r="K76" s="30">
        <f>IF(OR(tblSalesClean[[#This Row],[Quantity]]="",tblSalesClean[[#This Row],[Unit_Price_ZAR]]=""),"",tblSalesClean[[#This Row],[Quantity]]*tblSalesClean[[#This Row],[Unit_Price_ZAR]])</f>
        <v>10200</v>
      </c>
      <c r="L76" s="30">
        <f>IF(OR(tblSalesClean[[#This Row],[Gross_Revenue_ZAR]]="",tblSalesClean[[#This Row],[Discount_Pct]]=""),"",tblSalesClean[[#This Row],[Gross_Revenue_ZAR]]*(1-tblSalesClean[[#This Row],[Discount_Pct]]))</f>
        <v>9690</v>
      </c>
      <c r="M76" s="30">
        <f>IF(OR(tblSalesClean[[#This Row],[Net_Revenue_ZAR]]="",tblSalesClean[[#This Row],[Quantity]]="",tblSalesClean[[#This Row],[Unit_Cost_ZAR]]=""),"",tblSalesClean[[#This Row],[Net_Revenue_ZAR]]-(tblSalesClean[[#This Row],[Quantity]]*tblSalesClean[[#This Row],[Unit_Cost_ZAR]]))</f>
        <v>2790</v>
      </c>
    </row>
    <row r="77" spans="1:13" ht="13.5" x14ac:dyDescent="0.25">
      <c r="A77" s="1" t="s">
        <v>102</v>
      </c>
      <c r="B77" s="3">
        <v>45847</v>
      </c>
      <c r="C77" s="1" t="s">
        <v>27</v>
      </c>
      <c r="D77" s="1" t="s">
        <v>28</v>
      </c>
      <c r="E77" s="1" t="s">
        <v>15</v>
      </c>
      <c r="F77" s="1">
        <v>5</v>
      </c>
      <c r="G77" s="1">
        <v>2800</v>
      </c>
      <c r="H77" s="1">
        <v>1900</v>
      </c>
      <c r="I77" s="1">
        <v>0</v>
      </c>
      <c r="J77" s="8" t="str">
        <f>IF(OR(tblSalesClean[[#This Row],[Quantity]]="",tblSalesClean[[#This Row],[Discount_Pct]]=""),"Incomplete","Complete")</f>
        <v>Complete</v>
      </c>
      <c r="K77" s="30">
        <f>IF(OR(tblSalesClean[[#This Row],[Quantity]]="",tblSalesClean[[#This Row],[Unit_Price_ZAR]]=""),"",tblSalesClean[[#This Row],[Quantity]]*tblSalesClean[[#This Row],[Unit_Price_ZAR]])</f>
        <v>14000</v>
      </c>
      <c r="L77" s="30">
        <f>IF(OR(tblSalesClean[[#This Row],[Gross_Revenue_ZAR]]="",tblSalesClean[[#This Row],[Discount_Pct]]=""),"",tblSalesClean[[#This Row],[Gross_Revenue_ZAR]]*(1-tblSalesClean[[#This Row],[Discount_Pct]]))</f>
        <v>14000</v>
      </c>
      <c r="M77" s="30">
        <f>IF(OR(tblSalesClean[[#This Row],[Net_Revenue_ZAR]]="",tblSalesClean[[#This Row],[Quantity]]="",tblSalesClean[[#This Row],[Unit_Cost_ZAR]]=""),"",tblSalesClean[[#This Row],[Net_Revenue_ZAR]]-(tblSalesClean[[#This Row],[Quantity]]*tblSalesClean[[#This Row],[Unit_Cost_ZAR]]))</f>
        <v>4500</v>
      </c>
    </row>
    <row r="78" spans="1:13" ht="13.5" x14ac:dyDescent="0.25">
      <c r="A78" s="1" t="s">
        <v>103</v>
      </c>
      <c r="B78" s="3">
        <v>46014</v>
      </c>
      <c r="C78" s="1" t="s">
        <v>17</v>
      </c>
      <c r="D78" s="1" t="s">
        <v>44</v>
      </c>
      <c r="E78" s="1" t="s">
        <v>12</v>
      </c>
      <c r="F78" s="1">
        <v>6</v>
      </c>
      <c r="G78" s="1">
        <v>1100</v>
      </c>
      <c r="H78" s="1">
        <v>650</v>
      </c>
      <c r="I78" s="1">
        <v>0.15</v>
      </c>
      <c r="J78" s="8" t="str">
        <f>IF(OR(tblSalesClean[[#This Row],[Quantity]]="",tblSalesClean[[#This Row],[Discount_Pct]]=""),"Incomplete","Complete")</f>
        <v>Complete</v>
      </c>
      <c r="K78" s="30">
        <f>IF(OR(tblSalesClean[[#This Row],[Quantity]]="",tblSalesClean[[#This Row],[Unit_Price_ZAR]]=""),"",tblSalesClean[[#This Row],[Quantity]]*tblSalesClean[[#This Row],[Unit_Price_ZAR]])</f>
        <v>6600</v>
      </c>
      <c r="L78" s="30">
        <f>IF(OR(tblSalesClean[[#This Row],[Gross_Revenue_ZAR]]="",tblSalesClean[[#This Row],[Discount_Pct]]=""),"",tblSalesClean[[#This Row],[Gross_Revenue_ZAR]]*(1-tblSalesClean[[#This Row],[Discount_Pct]]))</f>
        <v>5610</v>
      </c>
      <c r="M78" s="30">
        <f>IF(OR(tblSalesClean[[#This Row],[Net_Revenue_ZAR]]="",tblSalesClean[[#This Row],[Quantity]]="",tblSalesClean[[#This Row],[Unit_Cost_ZAR]]=""),"",tblSalesClean[[#This Row],[Net_Revenue_ZAR]]-(tblSalesClean[[#This Row],[Quantity]]*tblSalesClean[[#This Row],[Unit_Cost_ZAR]]))</f>
        <v>1710</v>
      </c>
    </row>
    <row r="79" spans="1:13" ht="13.5" x14ac:dyDescent="0.25">
      <c r="A79" s="1" t="s">
        <v>104</v>
      </c>
      <c r="B79" s="3">
        <v>45763</v>
      </c>
      <c r="C79" s="1" t="s">
        <v>10</v>
      </c>
      <c r="D79" s="1" t="s">
        <v>14</v>
      </c>
      <c r="E79" s="1" t="s">
        <v>15</v>
      </c>
      <c r="F79" s="1">
        <v>6</v>
      </c>
      <c r="G79" s="1">
        <v>2100</v>
      </c>
      <c r="H79" s="1">
        <v>1350</v>
      </c>
      <c r="I79" s="1">
        <v>0</v>
      </c>
      <c r="J79" s="8" t="str">
        <f>IF(OR(tblSalesClean[[#This Row],[Quantity]]="",tblSalesClean[[#This Row],[Discount_Pct]]=""),"Incomplete","Complete")</f>
        <v>Complete</v>
      </c>
      <c r="K79" s="30">
        <f>IF(OR(tblSalesClean[[#This Row],[Quantity]]="",tblSalesClean[[#This Row],[Unit_Price_ZAR]]=""),"",tblSalesClean[[#This Row],[Quantity]]*tblSalesClean[[#This Row],[Unit_Price_ZAR]])</f>
        <v>12600</v>
      </c>
      <c r="L79" s="30">
        <f>IF(OR(tblSalesClean[[#This Row],[Gross_Revenue_ZAR]]="",tblSalesClean[[#This Row],[Discount_Pct]]=""),"",tblSalesClean[[#This Row],[Gross_Revenue_ZAR]]*(1-tblSalesClean[[#This Row],[Discount_Pct]]))</f>
        <v>12600</v>
      </c>
      <c r="M79" s="30">
        <f>IF(OR(tblSalesClean[[#This Row],[Net_Revenue_ZAR]]="",tblSalesClean[[#This Row],[Quantity]]="",tblSalesClean[[#This Row],[Unit_Cost_ZAR]]=""),"",tblSalesClean[[#This Row],[Net_Revenue_ZAR]]-(tblSalesClean[[#This Row],[Quantity]]*tblSalesClean[[#This Row],[Unit_Cost_ZAR]]))</f>
        <v>4500</v>
      </c>
    </row>
    <row r="80" spans="1:13" ht="13.5" x14ac:dyDescent="0.25">
      <c r="A80" s="1" t="s">
        <v>105</v>
      </c>
      <c r="B80" s="3">
        <v>45906</v>
      </c>
      <c r="C80" s="1" t="s">
        <v>17</v>
      </c>
      <c r="D80" s="1" t="s">
        <v>14</v>
      </c>
      <c r="E80" s="1" t="s">
        <v>15</v>
      </c>
      <c r="F80" s="1">
        <v>1</v>
      </c>
      <c r="G80" s="1">
        <v>2100</v>
      </c>
      <c r="H80" s="1">
        <v>1350</v>
      </c>
      <c r="I80" s="1">
        <v>0</v>
      </c>
      <c r="J80" s="8" t="str">
        <f>IF(OR(tblSalesClean[[#This Row],[Quantity]]="",tblSalesClean[[#This Row],[Discount_Pct]]=""),"Incomplete","Complete")</f>
        <v>Complete</v>
      </c>
      <c r="K80" s="30">
        <f>IF(OR(tblSalesClean[[#This Row],[Quantity]]="",tblSalesClean[[#This Row],[Unit_Price_ZAR]]=""),"",tblSalesClean[[#This Row],[Quantity]]*tblSalesClean[[#This Row],[Unit_Price_ZAR]])</f>
        <v>2100</v>
      </c>
      <c r="L80" s="30">
        <f>IF(OR(tblSalesClean[[#This Row],[Gross_Revenue_ZAR]]="",tblSalesClean[[#This Row],[Discount_Pct]]=""),"",tblSalesClean[[#This Row],[Gross_Revenue_ZAR]]*(1-tblSalesClean[[#This Row],[Discount_Pct]]))</f>
        <v>2100</v>
      </c>
      <c r="M80" s="30">
        <f>IF(OR(tblSalesClean[[#This Row],[Net_Revenue_ZAR]]="",tblSalesClean[[#This Row],[Quantity]]="",tblSalesClean[[#This Row],[Unit_Cost_ZAR]]=""),"",tblSalesClean[[#This Row],[Net_Revenue_ZAR]]-(tblSalesClean[[#This Row],[Quantity]]*tblSalesClean[[#This Row],[Unit_Cost_ZAR]]))</f>
        <v>750</v>
      </c>
    </row>
    <row r="81" spans="1:13" ht="13.5" x14ac:dyDescent="0.25">
      <c r="A81" s="1" t="s">
        <v>106</v>
      </c>
      <c r="B81" s="3">
        <v>45772</v>
      </c>
      <c r="C81" s="1" t="s">
        <v>10</v>
      </c>
      <c r="D81" s="1" t="s">
        <v>44</v>
      </c>
      <c r="E81" s="1" t="s">
        <v>12</v>
      </c>
      <c r="F81" s="1">
        <v>6</v>
      </c>
      <c r="G81" s="1">
        <v>1100</v>
      </c>
      <c r="H81" s="1">
        <v>650</v>
      </c>
      <c r="I81" s="1">
        <v>0</v>
      </c>
      <c r="J81" s="8" t="str">
        <f>IF(OR(tblSalesClean[[#This Row],[Quantity]]="",tblSalesClean[[#This Row],[Discount_Pct]]=""),"Incomplete","Complete")</f>
        <v>Complete</v>
      </c>
      <c r="K81" s="30">
        <f>IF(OR(tblSalesClean[[#This Row],[Quantity]]="",tblSalesClean[[#This Row],[Unit_Price_ZAR]]=""),"",tblSalesClean[[#This Row],[Quantity]]*tblSalesClean[[#This Row],[Unit_Price_ZAR]])</f>
        <v>6600</v>
      </c>
      <c r="L81" s="30">
        <f>IF(OR(tblSalesClean[[#This Row],[Gross_Revenue_ZAR]]="",tblSalesClean[[#This Row],[Discount_Pct]]=""),"",tblSalesClean[[#This Row],[Gross_Revenue_ZAR]]*(1-tblSalesClean[[#This Row],[Discount_Pct]]))</f>
        <v>6600</v>
      </c>
      <c r="M81" s="30">
        <f>IF(OR(tblSalesClean[[#This Row],[Net_Revenue_ZAR]]="",tblSalesClean[[#This Row],[Quantity]]="",tblSalesClean[[#This Row],[Unit_Cost_ZAR]]=""),"",tblSalesClean[[#This Row],[Net_Revenue_ZAR]]-(tblSalesClean[[#This Row],[Quantity]]*tblSalesClean[[#This Row],[Unit_Cost_ZAR]]))</f>
        <v>2700</v>
      </c>
    </row>
    <row r="82" spans="1:13" ht="13.5" x14ac:dyDescent="0.25">
      <c r="A82" s="1" t="s">
        <v>107</v>
      </c>
      <c r="B82" s="3">
        <v>45795</v>
      </c>
      <c r="C82" s="1" t="s">
        <v>21</v>
      </c>
      <c r="D82" s="1" t="s">
        <v>25</v>
      </c>
      <c r="E82" s="1" t="s">
        <v>19</v>
      </c>
      <c r="F82" s="1">
        <v>3</v>
      </c>
      <c r="G82" s="1">
        <v>3400</v>
      </c>
      <c r="H82" s="1">
        <v>2300</v>
      </c>
      <c r="I82" s="1">
        <v>0</v>
      </c>
      <c r="J82" s="8" t="str">
        <f>IF(OR(tblSalesClean[[#This Row],[Quantity]]="",tblSalesClean[[#This Row],[Discount_Pct]]=""),"Incomplete","Complete")</f>
        <v>Complete</v>
      </c>
      <c r="K82" s="30">
        <f>IF(OR(tblSalesClean[[#This Row],[Quantity]]="",tblSalesClean[[#This Row],[Unit_Price_ZAR]]=""),"",tblSalesClean[[#This Row],[Quantity]]*tblSalesClean[[#This Row],[Unit_Price_ZAR]])</f>
        <v>10200</v>
      </c>
      <c r="L82" s="30">
        <f>IF(OR(tblSalesClean[[#This Row],[Gross_Revenue_ZAR]]="",tblSalesClean[[#This Row],[Discount_Pct]]=""),"",tblSalesClean[[#This Row],[Gross_Revenue_ZAR]]*(1-tblSalesClean[[#This Row],[Discount_Pct]]))</f>
        <v>10200</v>
      </c>
      <c r="M82" s="30">
        <f>IF(OR(tblSalesClean[[#This Row],[Net_Revenue_ZAR]]="",tblSalesClean[[#This Row],[Quantity]]="",tblSalesClean[[#This Row],[Unit_Cost_ZAR]]=""),"",tblSalesClean[[#This Row],[Net_Revenue_ZAR]]-(tblSalesClean[[#This Row],[Quantity]]*tblSalesClean[[#This Row],[Unit_Cost_ZAR]]))</f>
        <v>3300</v>
      </c>
    </row>
    <row r="83" spans="1:13" ht="13.5" x14ac:dyDescent="0.25">
      <c r="A83" s="1" t="s">
        <v>108</v>
      </c>
      <c r="B83" s="3">
        <v>45723</v>
      </c>
      <c r="C83" s="1" t="s">
        <v>21</v>
      </c>
      <c r="D83" s="1" t="s">
        <v>22</v>
      </c>
      <c r="E83" s="1" t="s">
        <v>19</v>
      </c>
      <c r="F83" s="1">
        <v>2</v>
      </c>
      <c r="G83" s="1">
        <v>650</v>
      </c>
      <c r="H83" s="1">
        <v>340</v>
      </c>
      <c r="I83" s="1">
        <v>0</v>
      </c>
      <c r="J83" s="8" t="str">
        <f>IF(OR(tblSalesClean[[#This Row],[Quantity]]="",tblSalesClean[[#This Row],[Discount_Pct]]=""),"Incomplete","Complete")</f>
        <v>Complete</v>
      </c>
      <c r="K83" s="30">
        <f>IF(OR(tblSalesClean[[#This Row],[Quantity]]="",tblSalesClean[[#This Row],[Unit_Price_ZAR]]=""),"",tblSalesClean[[#This Row],[Quantity]]*tblSalesClean[[#This Row],[Unit_Price_ZAR]])</f>
        <v>1300</v>
      </c>
      <c r="L83" s="30">
        <f>IF(OR(tblSalesClean[[#This Row],[Gross_Revenue_ZAR]]="",tblSalesClean[[#This Row],[Discount_Pct]]=""),"",tblSalesClean[[#This Row],[Gross_Revenue_ZAR]]*(1-tblSalesClean[[#This Row],[Discount_Pct]]))</f>
        <v>1300</v>
      </c>
      <c r="M83" s="30">
        <f>IF(OR(tblSalesClean[[#This Row],[Net_Revenue_ZAR]]="",tblSalesClean[[#This Row],[Quantity]]="",tblSalesClean[[#This Row],[Unit_Cost_ZAR]]=""),"",tblSalesClean[[#This Row],[Net_Revenue_ZAR]]-(tblSalesClean[[#This Row],[Quantity]]*tblSalesClean[[#This Row],[Unit_Cost_ZAR]]))</f>
        <v>620</v>
      </c>
    </row>
    <row r="84" spans="1:13" ht="13.5" x14ac:dyDescent="0.25">
      <c r="A84" s="1" t="s">
        <v>109</v>
      </c>
      <c r="B84" s="3">
        <v>45956</v>
      </c>
      <c r="C84" s="1" t="s">
        <v>10</v>
      </c>
      <c r="D84" s="1" t="s">
        <v>54</v>
      </c>
      <c r="E84" s="1" t="s">
        <v>15</v>
      </c>
      <c r="F84" s="1">
        <v>4</v>
      </c>
      <c r="G84" s="1">
        <v>3900</v>
      </c>
      <c r="H84" s="1">
        <v>2700</v>
      </c>
      <c r="I84" s="1">
        <v>0</v>
      </c>
      <c r="J84" s="8" t="str">
        <f>IF(OR(tblSalesClean[[#This Row],[Quantity]]="",tblSalesClean[[#This Row],[Discount_Pct]]=""),"Incomplete","Complete")</f>
        <v>Complete</v>
      </c>
      <c r="K84" s="30">
        <f>IF(OR(tblSalesClean[[#This Row],[Quantity]]="",tblSalesClean[[#This Row],[Unit_Price_ZAR]]=""),"",tblSalesClean[[#This Row],[Quantity]]*tblSalesClean[[#This Row],[Unit_Price_ZAR]])</f>
        <v>15600</v>
      </c>
      <c r="L84" s="30">
        <f>IF(OR(tblSalesClean[[#This Row],[Gross_Revenue_ZAR]]="",tblSalesClean[[#This Row],[Discount_Pct]]=""),"",tblSalesClean[[#This Row],[Gross_Revenue_ZAR]]*(1-tblSalesClean[[#This Row],[Discount_Pct]]))</f>
        <v>15600</v>
      </c>
      <c r="M84" s="30">
        <f>IF(OR(tblSalesClean[[#This Row],[Net_Revenue_ZAR]]="",tblSalesClean[[#This Row],[Quantity]]="",tblSalesClean[[#This Row],[Unit_Cost_ZAR]]=""),"",tblSalesClean[[#This Row],[Net_Revenue_ZAR]]-(tblSalesClean[[#This Row],[Quantity]]*tblSalesClean[[#This Row],[Unit_Cost_ZAR]]))</f>
        <v>4800</v>
      </c>
    </row>
    <row r="85" spans="1:13" ht="13.5" x14ac:dyDescent="0.25">
      <c r="A85" s="1" t="s">
        <v>110</v>
      </c>
      <c r="B85" s="3">
        <v>45695</v>
      </c>
      <c r="C85" s="1" t="s">
        <v>17</v>
      </c>
      <c r="D85" s="1" t="s">
        <v>25</v>
      </c>
      <c r="E85" s="1" t="s">
        <v>19</v>
      </c>
      <c r="F85" s="1">
        <v>1</v>
      </c>
      <c r="G85" s="1">
        <v>3400</v>
      </c>
      <c r="H85" s="1">
        <v>2300</v>
      </c>
      <c r="I85" s="1">
        <v>0</v>
      </c>
      <c r="J85" s="8" t="str">
        <f>IF(OR(tblSalesClean[[#This Row],[Quantity]]="",tblSalesClean[[#This Row],[Discount_Pct]]=""),"Incomplete","Complete")</f>
        <v>Complete</v>
      </c>
      <c r="K85" s="30">
        <f>IF(OR(tblSalesClean[[#This Row],[Quantity]]="",tblSalesClean[[#This Row],[Unit_Price_ZAR]]=""),"",tblSalesClean[[#This Row],[Quantity]]*tblSalesClean[[#This Row],[Unit_Price_ZAR]])</f>
        <v>3400</v>
      </c>
      <c r="L85" s="30">
        <f>IF(OR(tblSalesClean[[#This Row],[Gross_Revenue_ZAR]]="",tblSalesClean[[#This Row],[Discount_Pct]]=""),"",tblSalesClean[[#This Row],[Gross_Revenue_ZAR]]*(1-tblSalesClean[[#This Row],[Discount_Pct]]))</f>
        <v>3400</v>
      </c>
      <c r="M85" s="30">
        <f>IF(OR(tblSalesClean[[#This Row],[Net_Revenue_ZAR]]="",tblSalesClean[[#This Row],[Quantity]]="",tblSalesClean[[#This Row],[Unit_Cost_ZAR]]=""),"",tblSalesClean[[#This Row],[Net_Revenue_ZAR]]-(tblSalesClean[[#This Row],[Quantity]]*tblSalesClean[[#This Row],[Unit_Cost_ZAR]]))</f>
        <v>1100</v>
      </c>
    </row>
    <row r="86" spans="1:13" ht="13.5" x14ac:dyDescent="0.25">
      <c r="A86" s="1" t="s">
        <v>111</v>
      </c>
      <c r="B86" s="3">
        <v>45704</v>
      </c>
      <c r="C86" s="1" t="s">
        <v>10</v>
      </c>
      <c r="D86" s="1" t="s">
        <v>22</v>
      </c>
      <c r="E86" s="1" t="s">
        <v>19</v>
      </c>
      <c r="F86" s="1">
        <v>3</v>
      </c>
      <c r="G86" s="1">
        <v>650</v>
      </c>
      <c r="H86" s="1">
        <v>340</v>
      </c>
      <c r="I86" s="1">
        <v>0</v>
      </c>
      <c r="J86" s="8" t="str">
        <f>IF(OR(tblSalesClean[[#This Row],[Quantity]]="",tblSalesClean[[#This Row],[Discount_Pct]]=""),"Incomplete","Complete")</f>
        <v>Complete</v>
      </c>
      <c r="K86" s="30">
        <f>IF(OR(tblSalesClean[[#This Row],[Quantity]]="",tblSalesClean[[#This Row],[Unit_Price_ZAR]]=""),"",tblSalesClean[[#This Row],[Quantity]]*tblSalesClean[[#This Row],[Unit_Price_ZAR]])</f>
        <v>1950</v>
      </c>
      <c r="L86" s="30">
        <f>IF(OR(tblSalesClean[[#This Row],[Gross_Revenue_ZAR]]="",tblSalesClean[[#This Row],[Discount_Pct]]=""),"",tblSalesClean[[#This Row],[Gross_Revenue_ZAR]]*(1-tblSalesClean[[#This Row],[Discount_Pct]]))</f>
        <v>1950</v>
      </c>
      <c r="M86" s="30">
        <f>IF(OR(tblSalesClean[[#This Row],[Net_Revenue_ZAR]]="",tblSalesClean[[#This Row],[Quantity]]="",tblSalesClean[[#This Row],[Unit_Cost_ZAR]]=""),"",tblSalesClean[[#This Row],[Net_Revenue_ZAR]]-(tblSalesClean[[#This Row],[Quantity]]*tblSalesClean[[#This Row],[Unit_Cost_ZAR]]))</f>
        <v>930</v>
      </c>
    </row>
    <row r="87" spans="1:13" ht="13.5" x14ac:dyDescent="0.25">
      <c r="A87" s="1" t="s">
        <v>112</v>
      </c>
      <c r="B87" s="3">
        <v>45696</v>
      </c>
      <c r="C87" s="1" t="s">
        <v>10</v>
      </c>
      <c r="D87" s="1" t="s">
        <v>28</v>
      </c>
      <c r="E87" s="1" t="s">
        <v>15</v>
      </c>
      <c r="F87" s="1">
        <v>3</v>
      </c>
      <c r="G87" s="1">
        <v>2800</v>
      </c>
      <c r="H87" s="1">
        <v>1900</v>
      </c>
      <c r="I87" s="1">
        <v>0</v>
      </c>
      <c r="J87" s="8" t="str">
        <f>IF(OR(tblSalesClean[[#This Row],[Quantity]]="",tblSalesClean[[#This Row],[Discount_Pct]]=""),"Incomplete","Complete")</f>
        <v>Complete</v>
      </c>
      <c r="K87" s="30">
        <f>IF(OR(tblSalesClean[[#This Row],[Quantity]]="",tblSalesClean[[#This Row],[Unit_Price_ZAR]]=""),"",tblSalesClean[[#This Row],[Quantity]]*tblSalesClean[[#This Row],[Unit_Price_ZAR]])</f>
        <v>8400</v>
      </c>
      <c r="L87" s="30">
        <f>IF(OR(tblSalesClean[[#This Row],[Gross_Revenue_ZAR]]="",tblSalesClean[[#This Row],[Discount_Pct]]=""),"",tblSalesClean[[#This Row],[Gross_Revenue_ZAR]]*(1-tblSalesClean[[#This Row],[Discount_Pct]]))</f>
        <v>8400</v>
      </c>
      <c r="M87" s="30">
        <f>IF(OR(tblSalesClean[[#This Row],[Net_Revenue_ZAR]]="",tblSalesClean[[#This Row],[Quantity]]="",tblSalesClean[[#This Row],[Unit_Cost_ZAR]]=""),"",tblSalesClean[[#This Row],[Net_Revenue_ZAR]]-(tblSalesClean[[#This Row],[Quantity]]*tblSalesClean[[#This Row],[Unit_Cost_ZAR]]))</f>
        <v>2700</v>
      </c>
    </row>
    <row r="88" spans="1:13" ht="13.5" x14ac:dyDescent="0.25">
      <c r="A88" s="1" t="s">
        <v>113</v>
      </c>
      <c r="B88" s="3">
        <v>45692</v>
      </c>
      <c r="C88" s="1" t="s">
        <v>10</v>
      </c>
      <c r="D88" s="1" t="s">
        <v>22</v>
      </c>
      <c r="E88" s="1" t="s">
        <v>19</v>
      </c>
      <c r="F88" s="1">
        <v>4</v>
      </c>
      <c r="G88" s="1">
        <v>650</v>
      </c>
      <c r="H88" s="1">
        <v>340</v>
      </c>
      <c r="I88" s="1">
        <v>0</v>
      </c>
      <c r="J88" s="8" t="str">
        <f>IF(OR(tblSalesClean[[#This Row],[Quantity]]="",tblSalesClean[[#This Row],[Discount_Pct]]=""),"Incomplete","Complete")</f>
        <v>Complete</v>
      </c>
      <c r="K88" s="30">
        <f>IF(OR(tblSalesClean[[#This Row],[Quantity]]="",tblSalesClean[[#This Row],[Unit_Price_ZAR]]=""),"",tblSalesClean[[#This Row],[Quantity]]*tblSalesClean[[#This Row],[Unit_Price_ZAR]])</f>
        <v>2600</v>
      </c>
      <c r="L88" s="30">
        <f>IF(OR(tblSalesClean[[#This Row],[Gross_Revenue_ZAR]]="",tblSalesClean[[#This Row],[Discount_Pct]]=""),"",tblSalesClean[[#This Row],[Gross_Revenue_ZAR]]*(1-tblSalesClean[[#This Row],[Discount_Pct]]))</f>
        <v>2600</v>
      </c>
      <c r="M88" s="30">
        <f>IF(OR(tblSalesClean[[#This Row],[Net_Revenue_ZAR]]="",tblSalesClean[[#This Row],[Quantity]]="",tblSalesClean[[#This Row],[Unit_Cost_ZAR]]=""),"",tblSalesClean[[#This Row],[Net_Revenue_ZAR]]-(tblSalesClean[[#This Row],[Quantity]]*tblSalesClean[[#This Row],[Unit_Cost_ZAR]]))</f>
        <v>1240</v>
      </c>
    </row>
    <row r="89" spans="1:13" ht="13.5" x14ac:dyDescent="0.25">
      <c r="A89" s="1" t="s">
        <v>114</v>
      </c>
      <c r="B89" s="3">
        <v>45766</v>
      </c>
      <c r="C89" s="1" t="s">
        <v>10</v>
      </c>
      <c r="D89" s="1" t="s">
        <v>44</v>
      </c>
      <c r="E89" s="1" t="s">
        <v>12</v>
      </c>
      <c r="F89" s="1">
        <v>2</v>
      </c>
      <c r="G89" s="1">
        <v>1100</v>
      </c>
      <c r="H89" s="1">
        <v>650</v>
      </c>
      <c r="I89" s="1">
        <v>0</v>
      </c>
      <c r="J89" s="8" t="str">
        <f>IF(OR(tblSalesClean[[#This Row],[Quantity]]="",tblSalesClean[[#This Row],[Discount_Pct]]=""),"Incomplete","Complete")</f>
        <v>Complete</v>
      </c>
      <c r="K89" s="30">
        <f>IF(OR(tblSalesClean[[#This Row],[Quantity]]="",tblSalesClean[[#This Row],[Unit_Price_ZAR]]=""),"",tblSalesClean[[#This Row],[Quantity]]*tblSalesClean[[#This Row],[Unit_Price_ZAR]])</f>
        <v>2200</v>
      </c>
      <c r="L89" s="30">
        <f>IF(OR(tblSalesClean[[#This Row],[Gross_Revenue_ZAR]]="",tblSalesClean[[#This Row],[Discount_Pct]]=""),"",tblSalesClean[[#This Row],[Gross_Revenue_ZAR]]*(1-tblSalesClean[[#This Row],[Discount_Pct]]))</f>
        <v>2200</v>
      </c>
      <c r="M89" s="30">
        <f>IF(OR(tblSalesClean[[#This Row],[Net_Revenue_ZAR]]="",tblSalesClean[[#This Row],[Quantity]]="",tblSalesClean[[#This Row],[Unit_Cost_ZAR]]=""),"",tblSalesClean[[#This Row],[Net_Revenue_ZAR]]-(tblSalesClean[[#This Row],[Quantity]]*tblSalesClean[[#This Row],[Unit_Cost_ZAR]]))</f>
        <v>900</v>
      </c>
    </row>
    <row r="90" spans="1:13" ht="13.5" x14ac:dyDescent="0.25">
      <c r="A90" s="1" t="s">
        <v>115</v>
      </c>
      <c r="B90" s="3">
        <v>45836</v>
      </c>
      <c r="C90" s="1" t="s">
        <v>17</v>
      </c>
      <c r="D90" s="1" t="s">
        <v>25</v>
      </c>
      <c r="E90" s="1" t="s">
        <v>19</v>
      </c>
      <c r="F90" s="1">
        <v>4</v>
      </c>
      <c r="G90" s="1">
        <v>3400</v>
      </c>
      <c r="H90" s="1">
        <v>2300</v>
      </c>
      <c r="I90" s="1">
        <v>0.05</v>
      </c>
      <c r="J90" s="8" t="str">
        <f>IF(OR(tblSalesClean[[#This Row],[Quantity]]="",tblSalesClean[[#This Row],[Discount_Pct]]=""),"Incomplete","Complete")</f>
        <v>Complete</v>
      </c>
      <c r="K90" s="30">
        <f>IF(OR(tblSalesClean[[#This Row],[Quantity]]="",tblSalesClean[[#This Row],[Unit_Price_ZAR]]=""),"",tblSalesClean[[#This Row],[Quantity]]*tblSalesClean[[#This Row],[Unit_Price_ZAR]])</f>
        <v>13600</v>
      </c>
      <c r="L90" s="30">
        <f>IF(OR(tblSalesClean[[#This Row],[Gross_Revenue_ZAR]]="",tblSalesClean[[#This Row],[Discount_Pct]]=""),"",tblSalesClean[[#This Row],[Gross_Revenue_ZAR]]*(1-tblSalesClean[[#This Row],[Discount_Pct]]))</f>
        <v>12920</v>
      </c>
      <c r="M90" s="30">
        <f>IF(OR(tblSalesClean[[#This Row],[Net_Revenue_ZAR]]="",tblSalesClean[[#This Row],[Quantity]]="",tblSalesClean[[#This Row],[Unit_Cost_ZAR]]=""),"",tblSalesClean[[#This Row],[Net_Revenue_ZAR]]-(tblSalesClean[[#This Row],[Quantity]]*tblSalesClean[[#This Row],[Unit_Cost_ZAR]]))</f>
        <v>3720</v>
      </c>
    </row>
    <row r="91" spans="1:13" ht="13.5" x14ac:dyDescent="0.25">
      <c r="A91" s="1" t="s">
        <v>116</v>
      </c>
      <c r="B91" s="3">
        <v>45886</v>
      </c>
      <c r="C91" s="1" t="s">
        <v>17</v>
      </c>
      <c r="D91" s="1" t="s">
        <v>54</v>
      </c>
      <c r="E91" s="1" t="s">
        <v>15</v>
      </c>
      <c r="F91" s="1">
        <v>3</v>
      </c>
      <c r="G91" s="1">
        <v>3900</v>
      </c>
      <c r="H91" s="1">
        <v>2700</v>
      </c>
      <c r="I91" s="1">
        <v>0.05</v>
      </c>
      <c r="J91" s="8" t="str">
        <f>IF(OR(tblSalesClean[[#This Row],[Quantity]]="",tblSalesClean[[#This Row],[Discount_Pct]]=""),"Incomplete","Complete")</f>
        <v>Complete</v>
      </c>
      <c r="K91" s="30">
        <f>IF(OR(tblSalesClean[[#This Row],[Quantity]]="",tblSalesClean[[#This Row],[Unit_Price_ZAR]]=""),"",tblSalesClean[[#This Row],[Quantity]]*tblSalesClean[[#This Row],[Unit_Price_ZAR]])</f>
        <v>11700</v>
      </c>
      <c r="L91" s="30">
        <f>IF(OR(tblSalesClean[[#This Row],[Gross_Revenue_ZAR]]="",tblSalesClean[[#This Row],[Discount_Pct]]=""),"",tblSalesClean[[#This Row],[Gross_Revenue_ZAR]]*(1-tblSalesClean[[#This Row],[Discount_Pct]]))</f>
        <v>11115</v>
      </c>
      <c r="M91" s="30">
        <f>IF(OR(tblSalesClean[[#This Row],[Net_Revenue_ZAR]]="",tblSalesClean[[#This Row],[Quantity]]="",tblSalesClean[[#This Row],[Unit_Cost_ZAR]]=""),"",tblSalesClean[[#This Row],[Net_Revenue_ZAR]]-(tblSalesClean[[#This Row],[Quantity]]*tblSalesClean[[#This Row],[Unit_Cost_ZAR]]))</f>
        <v>3015</v>
      </c>
    </row>
    <row r="92" spans="1:13" ht="13.5" x14ac:dyDescent="0.25">
      <c r="A92" s="1" t="s">
        <v>117</v>
      </c>
      <c r="B92" s="3">
        <v>45733</v>
      </c>
      <c r="C92" s="1" t="s">
        <v>21</v>
      </c>
      <c r="D92" s="1" t="s">
        <v>14</v>
      </c>
      <c r="E92" s="1" t="s">
        <v>15</v>
      </c>
      <c r="F92" s="1">
        <v>1</v>
      </c>
      <c r="G92" s="1">
        <v>2100</v>
      </c>
      <c r="H92" s="1">
        <v>1350</v>
      </c>
      <c r="I92" s="1">
        <v>0.05</v>
      </c>
      <c r="J92" s="8" t="str">
        <f>IF(OR(tblSalesClean[[#This Row],[Quantity]]="",tblSalesClean[[#This Row],[Discount_Pct]]=""),"Incomplete","Complete")</f>
        <v>Complete</v>
      </c>
      <c r="K92" s="30">
        <f>IF(OR(tblSalesClean[[#This Row],[Quantity]]="",tblSalesClean[[#This Row],[Unit_Price_ZAR]]=""),"",tblSalesClean[[#This Row],[Quantity]]*tblSalesClean[[#This Row],[Unit_Price_ZAR]])</f>
        <v>2100</v>
      </c>
      <c r="L92" s="30">
        <f>IF(OR(tblSalesClean[[#This Row],[Gross_Revenue_ZAR]]="",tblSalesClean[[#This Row],[Discount_Pct]]=""),"",tblSalesClean[[#This Row],[Gross_Revenue_ZAR]]*(1-tblSalesClean[[#This Row],[Discount_Pct]]))</f>
        <v>1995</v>
      </c>
      <c r="M92" s="30">
        <f>IF(OR(tblSalesClean[[#This Row],[Net_Revenue_ZAR]]="",tblSalesClean[[#This Row],[Quantity]]="",tblSalesClean[[#This Row],[Unit_Cost_ZAR]]=""),"",tblSalesClean[[#This Row],[Net_Revenue_ZAR]]-(tblSalesClean[[#This Row],[Quantity]]*tblSalesClean[[#This Row],[Unit_Cost_ZAR]]))</f>
        <v>645</v>
      </c>
    </row>
    <row r="93" spans="1:13" ht="13.5" x14ac:dyDescent="0.25">
      <c r="A93" s="1" t="s">
        <v>118</v>
      </c>
      <c r="B93" s="3">
        <v>45806</v>
      </c>
      <c r="C93" s="1" t="s">
        <v>17</v>
      </c>
      <c r="D93" s="1" t="s">
        <v>22</v>
      </c>
      <c r="E93" s="1" t="s">
        <v>19</v>
      </c>
      <c r="F93" s="1">
        <v>4</v>
      </c>
      <c r="G93" s="1">
        <v>650</v>
      </c>
      <c r="H93" s="1">
        <v>340</v>
      </c>
      <c r="I93" s="1">
        <v>0</v>
      </c>
      <c r="J93" s="8" t="str">
        <f>IF(OR(tblSalesClean[[#This Row],[Quantity]]="",tblSalesClean[[#This Row],[Discount_Pct]]=""),"Incomplete","Complete")</f>
        <v>Complete</v>
      </c>
      <c r="K93" s="30">
        <f>IF(OR(tblSalesClean[[#This Row],[Quantity]]="",tblSalesClean[[#This Row],[Unit_Price_ZAR]]=""),"",tblSalesClean[[#This Row],[Quantity]]*tblSalesClean[[#This Row],[Unit_Price_ZAR]])</f>
        <v>2600</v>
      </c>
      <c r="L93" s="30">
        <f>IF(OR(tblSalesClean[[#This Row],[Gross_Revenue_ZAR]]="",tblSalesClean[[#This Row],[Discount_Pct]]=""),"",tblSalesClean[[#This Row],[Gross_Revenue_ZAR]]*(1-tblSalesClean[[#This Row],[Discount_Pct]]))</f>
        <v>2600</v>
      </c>
      <c r="M93" s="30">
        <f>IF(OR(tblSalesClean[[#This Row],[Net_Revenue_ZAR]]="",tblSalesClean[[#This Row],[Quantity]]="",tblSalesClean[[#This Row],[Unit_Cost_ZAR]]=""),"",tblSalesClean[[#This Row],[Net_Revenue_ZAR]]-(tblSalesClean[[#This Row],[Quantity]]*tblSalesClean[[#This Row],[Unit_Cost_ZAR]]))</f>
        <v>1240</v>
      </c>
    </row>
    <row r="94" spans="1:13" ht="13.5" x14ac:dyDescent="0.25">
      <c r="A94" s="1" t="s">
        <v>119</v>
      </c>
      <c r="B94" s="3">
        <v>45821</v>
      </c>
      <c r="C94" s="1" t="s">
        <v>10</v>
      </c>
      <c r="D94" s="1" t="s">
        <v>63</v>
      </c>
      <c r="E94" s="1" t="s">
        <v>12</v>
      </c>
      <c r="F94" s="1">
        <v>3</v>
      </c>
      <c r="G94" s="1">
        <v>520</v>
      </c>
      <c r="H94" s="1">
        <v>290</v>
      </c>
      <c r="I94" s="1">
        <v>0</v>
      </c>
      <c r="J94" s="8" t="str">
        <f>IF(OR(tblSalesClean[[#This Row],[Quantity]]="",tblSalesClean[[#This Row],[Discount_Pct]]=""),"Incomplete","Complete")</f>
        <v>Complete</v>
      </c>
      <c r="K94" s="30">
        <f>IF(OR(tblSalesClean[[#This Row],[Quantity]]="",tblSalesClean[[#This Row],[Unit_Price_ZAR]]=""),"",tblSalesClean[[#This Row],[Quantity]]*tblSalesClean[[#This Row],[Unit_Price_ZAR]])</f>
        <v>1560</v>
      </c>
      <c r="L94" s="30">
        <f>IF(OR(tblSalesClean[[#This Row],[Gross_Revenue_ZAR]]="",tblSalesClean[[#This Row],[Discount_Pct]]=""),"",tblSalesClean[[#This Row],[Gross_Revenue_ZAR]]*(1-tblSalesClean[[#This Row],[Discount_Pct]]))</f>
        <v>1560</v>
      </c>
      <c r="M94" s="30">
        <f>IF(OR(tblSalesClean[[#This Row],[Net_Revenue_ZAR]]="",tblSalesClean[[#This Row],[Quantity]]="",tblSalesClean[[#This Row],[Unit_Cost_ZAR]]=""),"",tblSalesClean[[#This Row],[Net_Revenue_ZAR]]-(tblSalesClean[[#This Row],[Quantity]]*tblSalesClean[[#This Row],[Unit_Cost_ZAR]]))</f>
        <v>690</v>
      </c>
    </row>
    <row r="95" spans="1:13" ht="13.5" x14ac:dyDescent="0.25">
      <c r="A95" s="1" t="s">
        <v>120</v>
      </c>
      <c r="B95" s="3">
        <v>45934</v>
      </c>
      <c r="C95" s="1" t="s">
        <v>10</v>
      </c>
      <c r="D95" s="1" t="s">
        <v>25</v>
      </c>
      <c r="E95" s="1" t="s">
        <v>19</v>
      </c>
      <c r="F95" s="1">
        <v>3</v>
      </c>
      <c r="G95" s="1">
        <v>3400</v>
      </c>
      <c r="H95" s="1">
        <v>2300</v>
      </c>
      <c r="I95" s="1">
        <v>0</v>
      </c>
      <c r="J95" s="8" t="str">
        <f>IF(OR(tblSalesClean[[#This Row],[Quantity]]="",tblSalesClean[[#This Row],[Discount_Pct]]=""),"Incomplete","Complete")</f>
        <v>Complete</v>
      </c>
      <c r="K95" s="30">
        <f>IF(OR(tblSalesClean[[#This Row],[Quantity]]="",tblSalesClean[[#This Row],[Unit_Price_ZAR]]=""),"",tblSalesClean[[#This Row],[Quantity]]*tblSalesClean[[#This Row],[Unit_Price_ZAR]])</f>
        <v>10200</v>
      </c>
      <c r="L95" s="30">
        <f>IF(OR(tblSalesClean[[#This Row],[Gross_Revenue_ZAR]]="",tblSalesClean[[#This Row],[Discount_Pct]]=""),"",tblSalesClean[[#This Row],[Gross_Revenue_ZAR]]*(1-tblSalesClean[[#This Row],[Discount_Pct]]))</f>
        <v>10200</v>
      </c>
      <c r="M95" s="30">
        <f>IF(OR(tblSalesClean[[#This Row],[Net_Revenue_ZAR]]="",tblSalesClean[[#This Row],[Quantity]]="",tblSalesClean[[#This Row],[Unit_Cost_ZAR]]=""),"",tblSalesClean[[#This Row],[Net_Revenue_ZAR]]-(tblSalesClean[[#This Row],[Quantity]]*tblSalesClean[[#This Row],[Unit_Cost_ZAR]]))</f>
        <v>3300</v>
      </c>
    </row>
    <row r="96" spans="1:13" ht="13.5" x14ac:dyDescent="0.25">
      <c r="A96" s="1" t="s">
        <v>121</v>
      </c>
      <c r="B96" s="3">
        <v>45767</v>
      </c>
      <c r="C96" s="1" t="s">
        <v>21</v>
      </c>
      <c r="D96" s="1" t="s">
        <v>54</v>
      </c>
      <c r="E96" s="1" t="s">
        <v>15</v>
      </c>
      <c r="F96" s="1">
        <v>5</v>
      </c>
      <c r="G96" s="1">
        <v>3900</v>
      </c>
      <c r="H96" s="1">
        <v>2700</v>
      </c>
      <c r="I96" s="1">
        <v>0.15</v>
      </c>
      <c r="J96" s="8" t="str">
        <f>IF(OR(tblSalesClean[[#This Row],[Quantity]]="",tblSalesClean[[#This Row],[Discount_Pct]]=""),"Incomplete","Complete")</f>
        <v>Complete</v>
      </c>
      <c r="K96" s="30">
        <f>IF(OR(tblSalesClean[[#This Row],[Quantity]]="",tblSalesClean[[#This Row],[Unit_Price_ZAR]]=""),"",tblSalesClean[[#This Row],[Quantity]]*tblSalesClean[[#This Row],[Unit_Price_ZAR]])</f>
        <v>19500</v>
      </c>
      <c r="L96" s="30">
        <f>IF(OR(tblSalesClean[[#This Row],[Gross_Revenue_ZAR]]="",tblSalesClean[[#This Row],[Discount_Pct]]=""),"",tblSalesClean[[#This Row],[Gross_Revenue_ZAR]]*(1-tblSalesClean[[#This Row],[Discount_Pct]]))</f>
        <v>16575</v>
      </c>
      <c r="M96" s="30">
        <f>IF(OR(tblSalesClean[[#This Row],[Net_Revenue_ZAR]]="",tblSalesClean[[#This Row],[Quantity]]="",tblSalesClean[[#This Row],[Unit_Cost_ZAR]]=""),"",tblSalesClean[[#This Row],[Net_Revenue_ZAR]]-(tblSalesClean[[#This Row],[Quantity]]*tblSalesClean[[#This Row],[Unit_Cost_ZAR]]))</f>
        <v>3075</v>
      </c>
    </row>
    <row r="97" spans="1:13" ht="13.5" x14ac:dyDescent="0.25">
      <c r="A97" s="1" t="s">
        <v>122</v>
      </c>
      <c r="B97" s="3">
        <v>45894</v>
      </c>
      <c r="C97" s="1" t="s">
        <v>27</v>
      </c>
      <c r="D97" s="1" t="s">
        <v>44</v>
      </c>
      <c r="E97" s="1" t="s">
        <v>12</v>
      </c>
      <c r="F97" s="1">
        <v>6</v>
      </c>
      <c r="G97" s="1">
        <v>1100</v>
      </c>
      <c r="H97" s="1">
        <v>650</v>
      </c>
      <c r="I97" s="1">
        <v>0.15</v>
      </c>
      <c r="J97" s="8" t="str">
        <f>IF(OR(tblSalesClean[[#This Row],[Quantity]]="",tblSalesClean[[#This Row],[Discount_Pct]]=""),"Incomplete","Complete")</f>
        <v>Complete</v>
      </c>
      <c r="K97" s="30">
        <f>IF(OR(tblSalesClean[[#This Row],[Quantity]]="",tblSalesClean[[#This Row],[Unit_Price_ZAR]]=""),"",tblSalesClean[[#This Row],[Quantity]]*tblSalesClean[[#This Row],[Unit_Price_ZAR]])</f>
        <v>6600</v>
      </c>
      <c r="L97" s="30">
        <f>IF(OR(tblSalesClean[[#This Row],[Gross_Revenue_ZAR]]="",tblSalesClean[[#This Row],[Discount_Pct]]=""),"",tblSalesClean[[#This Row],[Gross_Revenue_ZAR]]*(1-tblSalesClean[[#This Row],[Discount_Pct]]))</f>
        <v>5610</v>
      </c>
      <c r="M97" s="30">
        <f>IF(OR(tblSalesClean[[#This Row],[Net_Revenue_ZAR]]="",tblSalesClean[[#This Row],[Quantity]]="",tblSalesClean[[#This Row],[Unit_Cost_ZAR]]=""),"",tblSalesClean[[#This Row],[Net_Revenue_ZAR]]-(tblSalesClean[[#This Row],[Quantity]]*tblSalesClean[[#This Row],[Unit_Cost_ZAR]]))</f>
        <v>1710</v>
      </c>
    </row>
    <row r="98" spans="1:13" ht="13.5" x14ac:dyDescent="0.25">
      <c r="A98" s="1" t="s">
        <v>123</v>
      </c>
      <c r="B98" s="3">
        <v>45693</v>
      </c>
      <c r="C98" s="1" t="s">
        <v>17</v>
      </c>
      <c r="D98" s="1" t="s">
        <v>11</v>
      </c>
      <c r="E98" s="1" t="s">
        <v>12</v>
      </c>
      <c r="F98" s="1">
        <v>5</v>
      </c>
      <c r="G98" s="1">
        <v>1850</v>
      </c>
      <c r="H98" s="1">
        <v>1200</v>
      </c>
      <c r="I98" s="1">
        <v>0.05</v>
      </c>
      <c r="J98" s="8" t="str">
        <f>IF(OR(tblSalesClean[[#This Row],[Quantity]]="",tblSalesClean[[#This Row],[Discount_Pct]]=""),"Incomplete","Complete")</f>
        <v>Complete</v>
      </c>
      <c r="K98" s="30">
        <f>IF(OR(tblSalesClean[[#This Row],[Quantity]]="",tblSalesClean[[#This Row],[Unit_Price_ZAR]]=""),"",tblSalesClean[[#This Row],[Quantity]]*tblSalesClean[[#This Row],[Unit_Price_ZAR]])</f>
        <v>9250</v>
      </c>
      <c r="L98" s="30">
        <f>IF(OR(tblSalesClean[[#This Row],[Gross_Revenue_ZAR]]="",tblSalesClean[[#This Row],[Discount_Pct]]=""),"",tblSalesClean[[#This Row],[Gross_Revenue_ZAR]]*(1-tblSalesClean[[#This Row],[Discount_Pct]]))</f>
        <v>8787.5</v>
      </c>
      <c r="M98" s="30">
        <f>IF(OR(tblSalesClean[[#This Row],[Net_Revenue_ZAR]]="",tblSalesClean[[#This Row],[Quantity]]="",tblSalesClean[[#This Row],[Unit_Cost_ZAR]]=""),"",tblSalesClean[[#This Row],[Net_Revenue_ZAR]]-(tblSalesClean[[#This Row],[Quantity]]*tblSalesClean[[#This Row],[Unit_Cost_ZAR]]))</f>
        <v>2787.5</v>
      </c>
    </row>
    <row r="99" spans="1:13" ht="13.5" x14ac:dyDescent="0.25">
      <c r="A99" s="1" t="s">
        <v>124</v>
      </c>
      <c r="B99" s="3">
        <v>45708</v>
      </c>
      <c r="C99" s="1" t="s">
        <v>17</v>
      </c>
      <c r="D99" s="1" t="s">
        <v>28</v>
      </c>
      <c r="E99" s="1" t="s">
        <v>15</v>
      </c>
      <c r="F99" s="1">
        <v>2</v>
      </c>
      <c r="G99" s="1">
        <v>2800</v>
      </c>
      <c r="H99" s="1">
        <v>1900</v>
      </c>
      <c r="I99" s="1">
        <v>0.05</v>
      </c>
      <c r="J99" s="8" t="str">
        <f>IF(OR(tblSalesClean[[#This Row],[Quantity]]="",tblSalesClean[[#This Row],[Discount_Pct]]=""),"Incomplete","Complete")</f>
        <v>Complete</v>
      </c>
      <c r="K99" s="30">
        <f>IF(OR(tblSalesClean[[#This Row],[Quantity]]="",tblSalesClean[[#This Row],[Unit_Price_ZAR]]=""),"",tblSalesClean[[#This Row],[Quantity]]*tblSalesClean[[#This Row],[Unit_Price_ZAR]])</f>
        <v>5600</v>
      </c>
      <c r="L99" s="30">
        <f>IF(OR(tblSalesClean[[#This Row],[Gross_Revenue_ZAR]]="",tblSalesClean[[#This Row],[Discount_Pct]]=""),"",tblSalesClean[[#This Row],[Gross_Revenue_ZAR]]*(1-tblSalesClean[[#This Row],[Discount_Pct]]))</f>
        <v>5320</v>
      </c>
      <c r="M99" s="30">
        <f>IF(OR(tblSalesClean[[#This Row],[Net_Revenue_ZAR]]="",tblSalesClean[[#This Row],[Quantity]]="",tblSalesClean[[#This Row],[Unit_Cost_ZAR]]=""),"",tblSalesClean[[#This Row],[Net_Revenue_ZAR]]-(tblSalesClean[[#This Row],[Quantity]]*tblSalesClean[[#This Row],[Unit_Cost_ZAR]]))</f>
        <v>1520</v>
      </c>
    </row>
    <row r="100" spans="1:13" ht="13.5" x14ac:dyDescent="0.25">
      <c r="A100" s="1" t="s">
        <v>125</v>
      </c>
      <c r="B100" s="3">
        <v>45939</v>
      </c>
      <c r="C100" s="1" t="s">
        <v>21</v>
      </c>
      <c r="D100" s="1" t="s">
        <v>22</v>
      </c>
      <c r="E100" s="1" t="s">
        <v>19</v>
      </c>
      <c r="F100" s="1">
        <v>1</v>
      </c>
      <c r="G100" s="1">
        <v>650</v>
      </c>
      <c r="H100" s="1">
        <v>340</v>
      </c>
      <c r="I100" s="1">
        <v>0.05</v>
      </c>
      <c r="J100" s="8" t="str">
        <f>IF(OR(tblSalesClean[[#This Row],[Quantity]]="",tblSalesClean[[#This Row],[Discount_Pct]]=""),"Incomplete","Complete")</f>
        <v>Complete</v>
      </c>
      <c r="K100" s="30">
        <f>IF(OR(tblSalesClean[[#This Row],[Quantity]]="",tblSalesClean[[#This Row],[Unit_Price_ZAR]]=""),"",tblSalesClean[[#This Row],[Quantity]]*tblSalesClean[[#This Row],[Unit_Price_ZAR]])</f>
        <v>650</v>
      </c>
      <c r="L100" s="30">
        <f>IF(OR(tblSalesClean[[#This Row],[Gross_Revenue_ZAR]]="",tblSalesClean[[#This Row],[Discount_Pct]]=""),"",tblSalesClean[[#This Row],[Gross_Revenue_ZAR]]*(1-tblSalesClean[[#This Row],[Discount_Pct]]))</f>
        <v>617.5</v>
      </c>
      <c r="M100" s="30">
        <f>IF(OR(tblSalesClean[[#This Row],[Net_Revenue_ZAR]]="",tblSalesClean[[#This Row],[Quantity]]="",tblSalesClean[[#This Row],[Unit_Cost_ZAR]]=""),"",tblSalesClean[[#This Row],[Net_Revenue_ZAR]]-(tblSalesClean[[#This Row],[Quantity]]*tblSalesClean[[#This Row],[Unit_Cost_ZAR]]))</f>
        <v>277.5</v>
      </c>
    </row>
    <row r="101" spans="1:13" ht="13.5" x14ac:dyDescent="0.25">
      <c r="A101" s="1" t="s">
        <v>126</v>
      </c>
      <c r="B101" s="3">
        <v>45757</v>
      </c>
      <c r="C101" s="1" t="s">
        <v>17</v>
      </c>
      <c r="D101" s="1" t="s">
        <v>28</v>
      </c>
      <c r="E101" s="1" t="s">
        <v>15</v>
      </c>
      <c r="F101" s="1">
        <v>3</v>
      </c>
      <c r="G101" s="1">
        <v>2800</v>
      </c>
      <c r="H101" s="1">
        <v>1900</v>
      </c>
      <c r="I101" s="1">
        <v>0.05</v>
      </c>
      <c r="J101" s="8" t="str">
        <f>IF(OR(tblSalesClean[[#This Row],[Quantity]]="",tblSalesClean[[#This Row],[Discount_Pct]]=""),"Incomplete","Complete")</f>
        <v>Complete</v>
      </c>
      <c r="K101" s="30">
        <f>IF(OR(tblSalesClean[[#This Row],[Quantity]]="",tblSalesClean[[#This Row],[Unit_Price_ZAR]]=""),"",tblSalesClean[[#This Row],[Quantity]]*tblSalesClean[[#This Row],[Unit_Price_ZAR]])</f>
        <v>8400</v>
      </c>
      <c r="L101" s="30">
        <f>IF(OR(tblSalesClean[[#This Row],[Gross_Revenue_ZAR]]="",tblSalesClean[[#This Row],[Discount_Pct]]=""),"",tblSalesClean[[#This Row],[Gross_Revenue_ZAR]]*(1-tblSalesClean[[#This Row],[Discount_Pct]]))</f>
        <v>7980</v>
      </c>
      <c r="M101" s="30">
        <f>IF(OR(tblSalesClean[[#This Row],[Net_Revenue_ZAR]]="",tblSalesClean[[#This Row],[Quantity]]="",tblSalesClean[[#This Row],[Unit_Cost_ZAR]]=""),"",tblSalesClean[[#This Row],[Net_Revenue_ZAR]]-(tblSalesClean[[#This Row],[Quantity]]*tblSalesClean[[#This Row],[Unit_Cost_ZAR]]))</f>
        <v>2280</v>
      </c>
    </row>
    <row r="102" spans="1:13" ht="13.5" x14ac:dyDescent="0.25">
      <c r="A102" s="1" t="s">
        <v>127</v>
      </c>
      <c r="B102" s="3">
        <v>46022</v>
      </c>
      <c r="C102" s="1" t="s">
        <v>17</v>
      </c>
      <c r="D102" s="1" t="s">
        <v>28</v>
      </c>
      <c r="E102" s="1" t="s">
        <v>15</v>
      </c>
      <c r="F102" s="1">
        <v>4</v>
      </c>
      <c r="G102" s="1">
        <v>2800</v>
      </c>
      <c r="H102" s="1">
        <v>1900</v>
      </c>
      <c r="I102" s="1">
        <v>0</v>
      </c>
      <c r="J102" s="8" t="str">
        <f>IF(OR(tblSalesClean[[#This Row],[Quantity]]="",tblSalesClean[[#This Row],[Discount_Pct]]=""),"Incomplete","Complete")</f>
        <v>Complete</v>
      </c>
      <c r="K102" s="30">
        <f>IF(OR(tblSalesClean[[#This Row],[Quantity]]="",tblSalesClean[[#This Row],[Unit_Price_ZAR]]=""),"",tblSalesClean[[#This Row],[Quantity]]*tblSalesClean[[#This Row],[Unit_Price_ZAR]])</f>
        <v>11200</v>
      </c>
      <c r="L102" s="30">
        <f>IF(OR(tblSalesClean[[#This Row],[Gross_Revenue_ZAR]]="",tblSalesClean[[#This Row],[Discount_Pct]]=""),"",tblSalesClean[[#This Row],[Gross_Revenue_ZAR]]*(1-tblSalesClean[[#This Row],[Discount_Pct]]))</f>
        <v>11200</v>
      </c>
      <c r="M102" s="30">
        <f>IF(OR(tblSalesClean[[#This Row],[Net_Revenue_ZAR]]="",tblSalesClean[[#This Row],[Quantity]]="",tblSalesClean[[#This Row],[Unit_Cost_ZAR]]=""),"",tblSalesClean[[#This Row],[Net_Revenue_ZAR]]-(tblSalesClean[[#This Row],[Quantity]]*tblSalesClean[[#This Row],[Unit_Cost_ZAR]]))</f>
        <v>3600</v>
      </c>
    </row>
    <row r="103" spans="1:13" ht="13.5" x14ac:dyDescent="0.25">
      <c r="A103" s="1" t="s">
        <v>128</v>
      </c>
      <c r="B103" s="3">
        <v>45861</v>
      </c>
      <c r="C103" s="1" t="s">
        <v>10</v>
      </c>
      <c r="D103" s="1" t="s">
        <v>14</v>
      </c>
      <c r="E103" s="1" t="s">
        <v>15</v>
      </c>
      <c r="F103" s="1">
        <v>6</v>
      </c>
      <c r="G103" s="1">
        <v>2100</v>
      </c>
      <c r="H103" s="1">
        <v>1350</v>
      </c>
      <c r="I103" s="1">
        <v>0</v>
      </c>
      <c r="J103" s="8" t="str">
        <f>IF(OR(tblSalesClean[[#This Row],[Quantity]]="",tblSalesClean[[#This Row],[Discount_Pct]]=""),"Incomplete","Complete")</f>
        <v>Complete</v>
      </c>
      <c r="K103" s="30">
        <f>IF(OR(tblSalesClean[[#This Row],[Quantity]]="",tblSalesClean[[#This Row],[Unit_Price_ZAR]]=""),"",tblSalesClean[[#This Row],[Quantity]]*tblSalesClean[[#This Row],[Unit_Price_ZAR]])</f>
        <v>12600</v>
      </c>
      <c r="L103" s="30">
        <f>IF(OR(tblSalesClean[[#This Row],[Gross_Revenue_ZAR]]="",tblSalesClean[[#This Row],[Discount_Pct]]=""),"",tblSalesClean[[#This Row],[Gross_Revenue_ZAR]]*(1-tblSalesClean[[#This Row],[Discount_Pct]]))</f>
        <v>12600</v>
      </c>
      <c r="M103" s="30">
        <f>IF(OR(tblSalesClean[[#This Row],[Net_Revenue_ZAR]]="",tblSalesClean[[#This Row],[Quantity]]="",tblSalesClean[[#This Row],[Unit_Cost_ZAR]]=""),"",tblSalesClean[[#This Row],[Net_Revenue_ZAR]]-(tblSalesClean[[#This Row],[Quantity]]*tblSalesClean[[#This Row],[Unit_Cost_ZAR]]))</f>
        <v>4500</v>
      </c>
    </row>
    <row r="104" spans="1:13" ht="13.5" x14ac:dyDescent="0.25">
      <c r="A104" s="1" t="s">
        <v>129</v>
      </c>
      <c r="B104" s="3">
        <v>45834</v>
      </c>
      <c r="C104" s="1" t="s">
        <v>10</v>
      </c>
      <c r="D104" s="1" t="s">
        <v>28</v>
      </c>
      <c r="E104" s="1" t="s">
        <v>15</v>
      </c>
      <c r="F104" s="1">
        <v>6</v>
      </c>
      <c r="G104" s="1">
        <v>2800</v>
      </c>
      <c r="H104" s="1">
        <v>1900</v>
      </c>
      <c r="I104" s="1">
        <v>0.1</v>
      </c>
      <c r="J104" s="8" t="str">
        <f>IF(OR(tblSalesClean[[#This Row],[Quantity]]="",tblSalesClean[[#This Row],[Discount_Pct]]=""),"Incomplete","Complete")</f>
        <v>Complete</v>
      </c>
      <c r="K104" s="30">
        <f>IF(OR(tblSalesClean[[#This Row],[Quantity]]="",tblSalesClean[[#This Row],[Unit_Price_ZAR]]=""),"",tblSalesClean[[#This Row],[Quantity]]*tblSalesClean[[#This Row],[Unit_Price_ZAR]])</f>
        <v>16800</v>
      </c>
      <c r="L104" s="30">
        <f>IF(OR(tblSalesClean[[#This Row],[Gross_Revenue_ZAR]]="",tblSalesClean[[#This Row],[Discount_Pct]]=""),"",tblSalesClean[[#This Row],[Gross_Revenue_ZAR]]*(1-tblSalesClean[[#This Row],[Discount_Pct]]))</f>
        <v>15120</v>
      </c>
      <c r="M104" s="30">
        <f>IF(OR(tblSalesClean[[#This Row],[Net_Revenue_ZAR]]="",tblSalesClean[[#This Row],[Quantity]]="",tblSalesClean[[#This Row],[Unit_Cost_ZAR]]=""),"",tblSalesClean[[#This Row],[Net_Revenue_ZAR]]-(tblSalesClean[[#This Row],[Quantity]]*tblSalesClean[[#This Row],[Unit_Cost_ZAR]]))</f>
        <v>3720</v>
      </c>
    </row>
    <row r="105" spans="1:13" ht="13.5" x14ac:dyDescent="0.25">
      <c r="A105" s="1" t="s">
        <v>130</v>
      </c>
      <c r="B105" s="3">
        <v>45675</v>
      </c>
      <c r="C105" s="1" t="s">
        <v>27</v>
      </c>
      <c r="D105" s="1" t="s">
        <v>22</v>
      </c>
      <c r="E105" s="1" t="s">
        <v>19</v>
      </c>
      <c r="G105" s="1">
        <v>650</v>
      </c>
      <c r="H105" s="1">
        <v>340</v>
      </c>
      <c r="I105" s="1">
        <v>0.05</v>
      </c>
      <c r="J105" s="8" t="str">
        <f>IF(OR(tblSalesClean[[#This Row],[Quantity]]="",tblSalesClean[[#This Row],[Discount_Pct]]=""),"Incomplete","Complete")</f>
        <v>Incomplete</v>
      </c>
      <c r="K105" s="30" t="str">
        <f>IF(OR(tblSalesClean[[#This Row],[Quantity]]="",tblSalesClean[[#This Row],[Unit_Price_ZAR]]=""),"",tblSalesClean[[#This Row],[Quantity]]*tblSalesClean[[#This Row],[Unit_Price_ZAR]])</f>
        <v/>
      </c>
      <c r="L105" s="30" t="str">
        <f>IF(OR(tblSalesClean[[#This Row],[Gross_Revenue_ZAR]]="",tblSalesClean[[#This Row],[Discount_Pct]]=""),"",tblSalesClean[[#This Row],[Gross_Revenue_ZAR]]*(1-tblSalesClean[[#This Row],[Discount_Pct]]))</f>
        <v/>
      </c>
      <c r="M105" s="30" t="str">
        <f>IF(OR(tblSalesClean[[#This Row],[Net_Revenue_ZAR]]="",tblSalesClean[[#This Row],[Quantity]]="",tblSalesClean[[#This Row],[Unit_Cost_ZAR]]=""),"",tblSalesClean[[#This Row],[Net_Revenue_ZAR]]-(tblSalesClean[[#This Row],[Quantity]]*tblSalesClean[[#This Row],[Unit_Cost_ZAR]]))</f>
        <v/>
      </c>
    </row>
    <row r="106" spans="1:13" ht="13.5" x14ac:dyDescent="0.25">
      <c r="A106" s="1" t="s">
        <v>131</v>
      </c>
      <c r="B106" s="3">
        <v>45898</v>
      </c>
      <c r="C106" s="1" t="s">
        <v>10</v>
      </c>
      <c r="D106" s="1" t="s">
        <v>18</v>
      </c>
      <c r="E106" s="1" t="s">
        <v>19</v>
      </c>
      <c r="F106" s="1">
        <v>5</v>
      </c>
      <c r="G106" s="1">
        <v>12500</v>
      </c>
      <c r="H106" s="1">
        <v>9400</v>
      </c>
      <c r="I106" s="1">
        <v>0.05</v>
      </c>
      <c r="J106" s="8" t="str">
        <f>IF(OR(tblSalesClean[[#This Row],[Quantity]]="",tblSalesClean[[#This Row],[Discount_Pct]]=""),"Incomplete","Complete")</f>
        <v>Complete</v>
      </c>
      <c r="K106" s="30">
        <f>IF(OR(tblSalesClean[[#This Row],[Quantity]]="",tblSalesClean[[#This Row],[Unit_Price_ZAR]]=""),"",tblSalesClean[[#This Row],[Quantity]]*tblSalesClean[[#This Row],[Unit_Price_ZAR]])</f>
        <v>62500</v>
      </c>
      <c r="L106" s="30">
        <f>IF(OR(tblSalesClean[[#This Row],[Gross_Revenue_ZAR]]="",tblSalesClean[[#This Row],[Discount_Pct]]=""),"",tblSalesClean[[#This Row],[Gross_Revenue_ZAR]]*(1-tblSalesClean[[#This Row],[Discount_Pct]]))</f>
        <v>59375</v>
      </c>
      <c r="M106" s="30">
        <f>IF(OR(tblSalesClean[[#This Row],[Net_Revenue_ZAR]]="",tblSalesClean[[#This Row],[Quantity]]="",tblSalesClean[[#This Row],[Unit_Cost_ZAR]]=""),"",tblSalesClean[[#This Row],[Net_Revenue_ZAR]]-(tblSalesClean[[#This Row],[Quantity]]*tblSalesClean[[#This Row],[Unit_Cost_ZAR]]))</f>
        <v>12375</v>
      </c>
    </row>
    <row r="107" spans="1:13" ht="13.5" x14ac:dyDescent="0.25">
      <c r="A107" s="1" t="s">
        <v>132</v>
      </c>
      <c r="B107" s="3">
        <v>45800</v>
      </c>
      <c r="C107" s="1" t="s">
        <v>21</v>
      </c>
      <c r="D107" s="1" t="s">
        <v>11</v>
      </c>
      <c r="E107" s="1" t="s">
        <v>12</v>
      </c>
      <c r="F107" s="1">
        <v>6</v>
      </c>
      <c r="G107" s="1">
        <v>1850</v>
      </c>
      <c r="H107" s="1">
        <v>1200</v>
      </c>
      <c r="I107" s="1">
        <v>0.1</v>
      </c>
      <c r="J107" s="8" t="str">
        <f>IF(OR(tblSalesClean[[#This Row],[Quantity]]="",tblSalesClean[[#This Row],[Discount_Pct]]=""),"Incomplete","Complete")</f>
        <v>Complete</v>
      </c>
      <c r="K107" s="30">
        <f>IF(OR(tblSalesClean[[#This Row],[Quantity]]="",tblSalesClean[[#This Row],[Unit_Price_ZAR]]=""),"",tblSalesClean[[#This Row],[Quantity]]*tblSalesClean[[#This Row],[Unit_Price_ZAR]])</f>
        <v>11100</v>
      </c>
      <c r="L107" s="30">
        <f>IF(OR(tblSalesClean[[#This Row],[Gross_Revenue_ZAR]]="",tblSalesClean[[#This Row],[Discount_Pct]]=""),"",tblSalesClean[[#This Row],[Gross_Revenue_ZAR]]*(1-tblSalesClean[[#This Row],[Discount_Pct]]))</f>
        <v>9990</v>
      </c>
      <c r="M107" s="30">
        <f>IF(OR(tblSalesClean[[#This Row],[Net_Revenue_ZAR]]="",tblSalesClean[[#This Row],[Quantity]]="",tblSalesClean[[#This Row],[Unit_Cost_ZAR]]=""),"",tblSalesClean[[#This Row],[Net_Revenue_ZAR]]-(tblSalesClean[[#This Row],[Quantity]]*tblSalesClean[[#This Row],[Unit_Cost_ZAR]]))</f>
        <v>2790</v>
      </c>
    </row>
    <row r="108" spans="1:13" ht="13.5" x14ac:dyDescent="0.25">
      <c r="A108" s="1" t="s">
        <v>133</v>
      </c>
      <c r="B108" s="3">
        <v>45729</v>
      </c>
      <c r="C108" s="1" t="s">
        <v>17</v>
      </c>
      <c r="D108" s="1" t="s">
        <v>63</v>
      </c>
      <c r="E108" s="1" t="s">
        <v>12</v>
      </c>
      <c r="F108" s="1">
        <v>1</v>
      </c>
      <c r="G108" s="1">
        <v>520</v>
      </c>
      <c r="H108" s="1">
        <v>290</v>
      </c>
      <c r="I108" s="1">
        <v>0</v>
      </c>
      <c r="J108" s="8" t="str">
        <f>IF(OR(tblSalesClean[[#This Row],[Quantity]]="",tblSalesClean[[#This Row],[Discount_Pct]]=""),"Incomplete","Complete")</f>
        <v>Complete</v>
      </c>
      <c r="K108" s="30">
        <f>IF(OR(tblSalesClean[[#This Row],[Quantity]]="",tblSalesClean[[#This Row],[Unit_Price_ZAR]]=""),"",tblSalesClean[[#This Row],[Quantity]]*tblSalesClean[[#This Row],[Unit_Price_ZAR]])</f>
        <v>520</v>
      </c>
      <c r="L108" s="30">
        <f>IF(OR(tblSalesClean[[#This Row],[Gross_Revenue_ZAR]]="",tblSalesClean[[#This Row],[Discount_Pct]]=""),"",tblSalesClean[[#This Row],[Gross_Revenue_ZAR]]*(1-tblSalesClean[[#This Row],[Discount_Pct]]))</f>
        <v>520</v>
      </c>
      <c r="M108" s="30">
        <f>IF(OR(tblSalesClean[[#This Row],[Net_Revenue_ZAR]]="",tblSalesClean[[#This Row],[Quantity]]="",tblSalesClean[[#This Row],[Unit_Cost_ZAR]]=""),"",tblSalesClean[[#This Row],[Net_Revenue_ZAR]]-(tblSalesClean[[#This Row],[Quantity]]*tblSalesClean[[#This Row],[Unit_Cost_ZAR]]))</f>
        <v>230</v>
      </c>
    </row>
    <row r="109" spans="1:13" ht="13.5" x14ac:dyDescent="0.25">
      <c r="A109" s="1" t="s">
        <v>134</v>
      </c>
      <c r="B109" s="3">
        <v>45916</v>
      </c>
      <c r="C109" s="1" t="s">
        <v>27</v>
      </c>
      <c r="D109" s="1" t="s">
        <v>63</v>
      </c>
      <c r="E109" s="1" t="s">
        <v>12</v>
      </c>
      <c r="F109" s="1">
        <v>1</v>
      </c>
      <c r="G109" s="1">
        <v>520</v>
      </c>
      <c r="H109" s="1">
        <v>290</v>
      </c>
      <c r="I109" s="1">
        <v>0</v>
      </c>
      <c r="J109" s="8" t="str">
        <f>IF(OR(tblSalesClean[[#This Row],[Quantity]]="",tblSalesClean[[#This Row],[Discount_Pct]]=""),"Incomplete","Complete")</f>
        <v>Complete</v>
      </c>
      <c r="K109" s="30">
        <f>IF(OR(tblSalesClean[[#This Row],[Quantity]]="",tblSalesClean[[#This Row],[Unit_Price_ZAR]]=""),"",tblSalesClean[[#This Row],[Quantity]]*tblSalesClean[[#This Row],[Unit_Price_ZAR]])</f>
        <v>520</v>
      </c>
      <c r="L109" s="30">
        <f>IF(OR(tblSalesClean[[#This Row],[Gross_Revenue_ZAR]]="",tblSalesClean[[#This Row],[Discount_Pct]]=""),"",tblSalesClean[[#This Row],[Gross_Revenue_ZAR]]*(1-tblSalesClean[[#This Row],[Discount_Pct]]))</f>
        <v>520</v>
      </c>
      <c r="M109" s="30">
        <f>IF(OR(tblSalesClean[[#This Row],[Net_Revenue_ZAR]]="",tblSalesClean[[#This Row],[Quantity]]="",tblSalesClean[[#This Row],[Unit_Cost_ZAR]]=""),"",tblSalesClean[[#This Row],[Net_Revenue_ZAR]]-(tblSalesClean[[#This Row],[Quantity]]*tblSalesClean[[#This Row],[Unit_Cost_ZAR]]))</f>
        <v>230</v>
      </c>
    </row>
    <row r="110" spans="1:13" ht="13.5" x14ac:dyDescent="0.25">
      <c r="A110" s="1" t="s">
        <v>135</v>
      </c>
      <c r="B110" s="3">
        <v>45815</v>
      </c>
      <c r="C110" s="1" t="s">
        <v>10</v>
      </c>
      <c r="D110" s="1" t="s">
        <v>22</v>
      </c>
      <c r="E110" s="1" t="s">
        <v>19</v>
      </c>
      <c r="F110" s="1">
        <v>6</v>
      </c>
      <c r="G110" s="1">
        <v>650</v>
      </c>
      <c r="H110" s="1">
        <v>340</v>
      </c>
      <c r="I110" s="1">
        <v>0</v>
      </c>
      <c r="J110" s="8" t="str">
        <f>IF(OR(tblSalesClean[[#This Row],[Quantity]]="",tblSalesClean[[#This Row],[Discount_Pct]]=""),"Incomplete","Complete")</f>
        <v>Complete</v>
      </c>
      <c r="K110" s="30">
        <f>IF(OR(tblSalesClean[[#This Row],[Quantity]]="",tblSalesClean[[#This Row],[Unit_Price_ZAR]]=""),"",tblSalesClean[[#This Row],[Quantity]]*tblSalesClean[[#This Row],[Unit_Price_ZAR]])</f>
        <v>3900</v>
      </c>
      <c r="L110" s="30">
        <f>IF(OR(tblSalesClean[[#This Row],[Gross_Revenue_ZAR]]="",tblSalesClean[[#This Row],[Discount_Pct]]=""),"",tblSalesClean[[#This Row],[Gross_Revenue_ZAR]]*(1-tblSalesClean[[#This Row],[Discount_Pct]]))</f>
        <v>3900</v>
      </c>
      <c r="M110" s="30">
        <f>IF(OR(tblSalesClean[[#This Row],[Net_Revenue_ZAR]]="",tblSalesClean[[#This Row],[Quantity]]="",tblSalesClean[[#This Row],[Unit_Cost_ZAR]]=""),"",tblSalesClean[[#This Row],[Net_Revenue_ZAR]]-(tblSalesClean[[#This Row],[Quantity]]*tblSalesClean[[#This Row],[Unit_Cost_ZAR]]))</f>
        <v>1860</v>
      </c>
    </row>
    <row r="111" spans="1:13" ht="13.5" x14ac:dyDescent="0.25">
      <c r="A111" s="1" t="s">
        <v>136</v>
      </c>
      <c r="B111" s="3">
        <v>45674</v>
      </c>
      <c r="C111" s="1" t="s">
        <v>17</v>
      </c>
      <c r="D111" s="1" t="s">
        <v>44</v>
      </c>
      <c r="E111" s="1" t="s">
        <v>12</v>
      </c>
      <c r="F111" s="1">
        <v>4</v>
      </c>
      <c r="G111" s="1">
        <v>1100</v>
      </c>
      <c r="H111" s="1">
        <v>650</v>
      </c>
      <c r="I111" s="1">
        <v>0</v>
      </c>
      <c r="J111" s="8" t="str">
        <f>IF(OR(tblSalesClean[[#This Row],[Quantity]]="",tblSalesClean[[#This Row],[Discount_Pct]]=""),"Incomplete","Complete")</f>
        <v>Complete</v>
      </c>
      <c r="K111" s="30">
        <f>IF(OR(tblSalesClean[[#This Row],[Quantity]]="",tblSalesClean[[#This Row],[Unit_Price_ZAR]]=""),"",tblSalesClean[[#This Row],[Quantity]]*tblSalesClean[[#This Row],[Unit_Price_ZAR]])</f>
        <v>4400</v>
      </c>
      <c r="L111" s="30">
        <f>IF(OR(tblSalesClean[[#This Row],[Gross_Revenue_ZAR]]="",tblSalesClean[[#This Row],[Discount_Pct]]=""),"",tblSalesClean[[#This Row],[Gross_Revenue_ZAR]]*(1-tblSalesClean[[#This Row],[Discount_Pct]]))</f>
        <v>4400</v>
      </c>
      <c r="M111" s="30">
        <f>IF(OR(tblSalesClean[[#This Row],[Net_Revenue_ZAR]]="",tblSalesClean[[#This Row],[Quantity]]="",tblSalesClean[[#This Row],[Unit_Cost_ZAR]]=""),"",tblSalesClean[[#This Row],[Net_Revenue_ZAR]]-(tblSalesClean[[#This Row],[Quantity]]*tblSalesClean[[#This Row],[Unit_Cost_ZAR]]))</f>
        <v>1800</v>
      </c>
    </row>
    <row r="112" spans="1:13" ht="13.5" x14ac:dyDescent="0.25">
      <c r="A112" s="1" t="s">
        <v>137</v>
      </c>
      <c r="B112" s="3">
        <v>45823</v>
      </c>
      <c r="C112" s="1" t="s">
        <v>10</v>
      </c>
      <c r="D112" s="1" t="s">
        <v>14</v>
      </c>
      <c r="E112" s="1" t="s">
        <v>15</v>
      </c>
      <c r="F112" s="1">
        <v>2</v>
      </c>
      <c r="G112" s="1">
        <v>2100</v>
      </c>
      <c r="H112" s="1">
        <v>1350</v>
      </c>
      <c r="I112" s="1">
        <v>0</v>
      </c>
      <c r="J112" s="8" t="str">
        <f>IF(OR(tblSalesClean[[#This Row],[Quantity]]="",tblSalesClean[[#This Row],[Discount_Pct]]=""),"Incomplete","Complete")</f>
        <v>Complete</v>
      </c>
      <c r="K112" s="30">
        <f>IF(OR(tblSalesClean[[#This Row],[Quantity]]="",tblSalesClean[[#This Row],[Unit_Price_ZAR]]=""),"",tblSalesClean[[#This Row],[Quantity]]*tblSalesClean[[#This Row],[Unit_Price_ZAR]])</f>
        <v>4200</v>
      </c>
      <c r="L112" s="30">
        <f>IF(OR(tblSalesClean[[#This Row],[Gross_Revenue_ZAR]]="",tblSalesClean[[#This Row],[Discount_Pct]]=""),"",tblSalesClean[[#This Row],[Gross_Revenue_ZAR]]*(1-tblSalesClean[[#This Row],[Discount_Pct]]))</f>
        <v>4200</v>
      </c>
      <c r="M112" s="30">
        <f>IF(OR(tblSalesClean[[#This Row],[Net_Revenue_ZAR]]="",tblSalesClean[[#This Row],[Quantity]]="",tblSalesClean[[#This Row],[Unit_Cost_ZAR]]=""),"",tblSalesClean[[#This Row],[Net_Revenue_ZAR]]-(tblSalesClean[[#This Row],[Quantity]]*tblSalesClean[[#This Row],[Unit_Cost_ZAR]]))</f>
        <v>1500</v>
      </c>
    </row>
    <row r="113" spans="1:13" ht="13.5" x14ac:dyDescent="0.25">
      <c r="A113" s="1" t="s">
        <v>138</v>
      </c>
      <c r="B113" s="3">
        <v>45670</v>
      </c>
      <c r="C113" s="1" t="s">
        <v>10</v>
      </c>
      <c r="D113" s="1" t="s">
        <v>28</v>
      </c>
      <c r="E113" s="1" t="s">
        <v>15</v>
      </c>
      <c r="F113" s="1">
        <v>5</v>
      </c>
      <c r="G113" s="1">
        <v>2800</v>
      </c>
      <c r="H113" s="1">
        <v>1900</v>
      </c>
      <c r="I113" s="1">
        <v>0.05</v>
      </c>
      <c r="J113" s="8" t="str">
        <f>IF(OR(tblSalesClean[[#This Row],[Quantity]]="",tblSalesClean[[#This Row],[Discount_Pct]]=""),"Incomplete","Complete")</f>
        <v>Complete</v>
      </c>
      <c r="K113" s="30">
        <f>IF(OR(tblSalesClean[[#This Row],[Quantity]]="",tblSalesClean[[#This Row],[Unit_Price_ZAR]]=""),"",tblSalesClean[[#This Row],[Quantity]]*tblSalesClean[[#This Row],[Unit_Price_ZAR]])</f>
        <v>14000</v>
      </c>
      <c r="L113" s="30">
        <f>IF(OR(tblSalesClean[[#This Row],[Gross_Revenue_ZAR]]="",tblSalesClean[[#This Row],[Discount_Pct]]=""),"",tblSalesClean[[#This Row],[Gross_Revenue_ZAR]]*(1-tblSalesClean[[#This Row],[Discount_Pct]]))</f>
        <v>13300</v>
      </c>
      <c r="M113" s="30">
        <f>IF(OR(tblSalesClean[[#This Row],[Net_Revenue_ZAR]]="",tblSalesClean[[#This Row],[Quantity]]="",tblSalesClean[[#This Row],[Unit_Cost_ZAR]]=""),"",tblSalesClean[[#This Row],[Net_Revenue_ZAR]]-(tblSalesClean[[#This Row],[Quantity]]*tblSalesClean[[#This Row],[Unit_Cost_ZAR]]))</f>
        <v>3800</v>
      </c>
    </row>
    <row r="114" spans="1:13" ht="13.5" x14ac:dyDescent="0.25">
      <c r="A114" s="1" t="s">
        <v>139</v>
      </c>
      <c r="B114" s="3">
        <v>45701</v>
      </c>
      <c r="C114" s="1" t="s">
        <v>27</v>
      </c>
      <c r="D114" s="1" t="s">
        <v>18</v>
      </c>
      <c r="E114" s="1" t="s">
        <v>19</v>
      </c>
      <c r="F114" s="1">
        <v>4</v>
      </c>
      <c r="G114" s="1">
        <v>12500</v>
      </c>
      <c r="H114" s="1">
        <v>9400</v>
      </c>
      <c r="I114" s="1">
        <v>0</v>
      </c>
      <c r="J114" s="8" t="str">
        <f>IF(OR(tblSalesClean[[#This Row],[Quantity]]="",tblSalesClean[[#This Row],[Discount_Pct]]=""),"Incomplete","Complete")</f>
        <v>Complete</v>
      </c>
      <c r="K114" s="30">
        <f>IF(OR(tblSalesClean[[#This Row],[Quantity]]="",tblSalesClean[[#This Row],[Unit_Price_ZAR]]=""),"",tblSalesClean[[#This Row],[Quantity]]*tblSalesClean[[#This Row],[Unit_Price_ZAR]])</f>
        <v>50000</v>
      </c>
      <c r="L114" s="30">
        <f>IF(OR(tblSalesClean[[#This Row],[Gross_Revenue_ZAR]]="",tblSalesClean[[#This Row],[Discount_Pct]]=""),"",tblSalesClean[[#This Row],[Gross_Revenue_ZAR]]*(1-tblSalesClean[[#This Row],[Discount_Pct]]))</f>
        <v>50000</v>
      </c>
      <c r="M114" s="30">
        <f>IF(OR(tblSalesClean[[#This Row],[Net_Revenue_ZAR]]="",tblSalesClean[[#This Row],[Quantity]]="",tblSalesClean[[#This Row],[Unit_Cost_ZAR]]=""),"",tblSalesClean[[#This Row],[Net_Revenue_ZAR]]-(tblSalesClean[[#This Row],[Quantity]]*tblSalesClean[[#This Row],[Unit_Cost_ZAR]]))</f>
        <v>12400</v>
      </c>
    </row>
    <row r="115" spans="1:13" ht="13.5" x14ac:dyDescent="0.25">
      <c r="A115" s="1" t="s">
        <v>140</v>
      </c>
      <c r="B115" s="3">
        <v>45930</v>
      </c>
      <c r="C115" s="1" t="s">
        <v>27</v>
      </c>
      <c r="D115" s="1" t="s">
        <v>18</v>
      </c>
      <c r="E115" s="1" t="s">
        <v>19</v>
      </c>
      <c r="F115" s="1">
        <v>6</v>
      </c>
      <c r="G115" s="1">
        <v>12500</v>
      </c>
      <c r="H115" s="1">
        <v>9400</v>
      </c>
      <c r="I115" s="1">
        <v>0.15</v>
      </c>
      <c r="J115" s="8" t="str">
        <f>IF(OR(tblSalesClean[[#This Row],[Quantity]]="",tblSalesClean[[#This Row],[Discount_Pct]]=""),"Incomplete","Complete")</f>
        <v>Complete</v>
      </c>
      <c r="K115" s="30">
        <f>IF(OR(tblSalesClean[[#This Row],[Quantity]]="",tblSalesClean[[#This Row],[Unit_Price_ZAR]]=""),"",tblSalesClean[[#This Row],[Quantity]]*tblSalesClean[[#This Row],[Unit_Price_ZAR]])</f>
        <v>75000</v>
      </c>
      <c r="L115" s="30">
        <f>IF(OR(tblSalesClean[[#This Row],[Gross_Revenue_ZAR]]="",tblSalesClean[[#This Row],[Discount_Pct]]=""),"",tblSalesClean[[#This Row],[Gross_Revenue_ZAR]]*(1-tblSalesClean[[#This Row],[Discount_Pct]]))</f>
        <v>63750</v>
      </c>
      <c r="M115" s="30">
        <f>IF(OR(tblSalesClean[[#This Row],[Net_Revenue_ZAR]]="",tblSalesClean[[#This Row],[Quantity]]="",tblSalesClean[[#This Row],[Unit_Cost_ZAR]]=""),"",tblSalesClean[[#This Row],[Net_Revenue_ZAR]]-(tblSalesClean[[#This Row],[Quantity]]*tblSalesClean[[#This Row],[Unit_Cost_ZAR]]))</f>
        <v>7350</v>
      </c>
    </row>
    <row r="116" spans="1:13" ht="13.5" x14ac:dyDescent="0.25">
      <c r="A116" s="1" t="s">
        <v>141</v>
      </c>
      <c r="B116" s="3">
        <v>45738</v>
      </c>
      <c r="C116" s="1" t="s">
        <v>17</v>
      </c>
      <c r="D116" s="1" t="s">
        <v>44</v>
      </c>
      <c r="E116" s="1" t="s">
        <v>12</v>
      </c>
      <c r="F116" s="1">
        <v>4</v>
      </c>
      <c r="G116" s="1">
        <v>1100</v>
      </c>
      <c r="H116" s="1">
        <v>650</v>
      </c>
      <c r="I116" s="1">
        <v>0</v>
      </c>
      <c r="J116" s="8" t="str">
        <f>IF(OR(tblSalesClean[[#This Row],[Quantity]]="",tblSalesClean[[#This Row],[Discount_Pct]]=""),"Incomplete","Complete")</f>
        <v>Complete</v>
      </c>
      <c r="K116" s="30">
        <f>IF(OR(tblSalesClean[[#This Row],[Quantity]]="",tblSalesClean[[#This Row],[Unit_Price_ZAR]]=""),"",tblSalesClean[[#This Row],[Quantity]]*tblSalesClean[[#This Row],[Unit_Price_ZAR]])</f>
        <v>4400</v>
      </c>
      <c r="L116" s="30">
        <f>IF(OR(tblSalesClean[[#This Row],[Gross_Revenue_ZAR]]="",tblSalesClean[[#This Row],[Discount_Pct]]=""),"",tblSalesClean[[#This Row],[Gross_Revenue_ZAR]]*(1-tblSalesClean[[#This Row],[Discount_Pct]]))</f>
        <v>4400</v>
      </c>
      <c r="M116" s="30">
        <f>IF(OR(tblSalesClean[[#This Row],[Net_Revenue_ZAR]]="",tblSalesClean[[#This Row],[Quantity]]="",tblSalesClean[[#This Row],[Unit_Cost_ZAR]]=""),"",tblSalesClean[[#This Row],[Net_Revenue_ZAR]]-(tblSalesClean[[#This Row],[Quantity]]*tblSalesClean[[#This Row],[Unit_Cost_ZAR]]))</f>
        <v>1800</v>
      </c>
    </row>
    <row r="117" spans="1:13" ht="13.5" x14ac:dyDescent="0.25">
      <c r="A117" s="1" t="s">
        <v>142</v>
      </c>
      <c r="B117" s="3">
        <v>45981</v>
      </c>
      <c r="C117" s="1" t="s">
        <v>10</v>
      </c>
      <c r="D117" s="1" t="s">
        <v>44</v>
      </c>
      <c r="E117" s="1" t="s">
        <v>12</v>
      </c>
      <c r="F117" s="1">
        <v>6</v>
      </c>
      <c r="G117" s="1">
        <v>1100</v>
      </c>
      <c r="H117" s="1">
        <v>650</v>
      </c>
      <c r="I117" s="1">
        <v>0</v>
      </c>
      <c r="J117" s="8" t="str">
        <f>IF(OR(tblSalesClean[[#This Row],[Quantity]]="",tblSalesClean[[#This Row],[Discount_Pct]]=""),"Incomplete","Complete")</f>
        <v>Complete</v>
      </c>
      <c r="K117" s="30">
        <f>IF(OR(tblSalesClean[[#This Row],[Quantity]]="",tblSalesClean[[#This Row],[Unit_Price_ZAR]]=""),"",tblSalesClean[[#This Row],[Quantity]]*tblSalesClean[[#This Row],[Unit_Price_ZAR]])</f>
        <v>6600</v>
      </c>
      <c r="L117" s="30">
        <f>IF(OR(tblSalesClean[[#This Row],[Gross_Revenue_ZAR]]="",tblSalesClean[[#This Row],[Discount_Pct]]=""),"",tblSalesClean[[#This Row],[Gross_Revenue_ZAR]]*(1-tblSalesClean[[#This Row],[Discount_Pct]]))</f>
        <v>6600</v>
      </c>
      <c r="M117" s="30">
        <f>IF(OR(tblSalesClean[[#This Row],[Net_Revenue_ZAR]]="",tblSalesClean[[#This Row],[Quantity]]="",tblSalesClean[[#This Row],[Unit_Cost_ZAR]]=""),"",tblSalesClean[[#This Row],[Net_Revenue_ZAR]]-(tblSalesClean[[#This Row],[Quantity]]*tblSalesClean[[#This Row],[Unit_Cost_ZAR]]))</f>
        <v>2700</v>
      </c>
    </row>
    <row r="118" spans="1:13" ht="13.5" x14ac:dyDescent="0.25">
      <c r="A118" s="1" t="s">
        <v>143</v>
      </c>
      <c r="B118" s="3">
        <v>46000</v>
      </c>
      <c r="C118" s="1" t="s">
        <v>10</v>
      </c>
      <c r="D118" s="1" t="s">
        <v>63</v>
      </c>
      <c r="E118" s="1" t="s">
        <v>12</v>
      </c>
      <c r="F118" s="1">
        <v>2</v>
      </c>
      <c r="G118" s="1">
        <v>520</v>
      </c>
      <c r="H118" s="1">
        <v>290</v>
      </c>
      <c r="I118" s="1">
        <v>0.15</v>
      </c>
      <c r="J118" s="8" t="str">
        <f>IF(OR(tblSalesClean[[#This Row],[Quantity]]="",tblSalesClean[[#This Row],[Discount_Pct]]=""),"Incomplete","Complete")</f>
        <v>Complete</v>
      </c>
      <c r="K118" s="30">
        <f>IF(OR(tblSalesClean[[#This Row],[Quantity]]="",tblSalesClean[[#This Row],[Unit_Price_ZAR]]=""),"",tblSalesClean[[#This Row],[Quantity]]*tblSalesClean[[#This Row],[Unit_Price_ZAR]])</f>
        <v>1040</v>
      </c>
      <c r="L118" s="30">
        <f>IF(OR(tblSalesClean[[#This Row],[Gross_Revenue_ZAR]]="",tblSalesClean[[#This Row],[Discount_Pct]]=""),"",tblSalesClean[[#This Row],[Gross_Revenue_ZAR]]*(1-tblSalesClean[[#This Row],[Discount_Pct]]))</f>
        <v>884</v>
      </c>
      <c r="M118" s="30">
        <f>IF(OR(tblSalesClean[[#This Row],[Net_Revenue_ZAR]]="",tblSalesClean[[#This Row],[Quantity]]="",tblSalesClean[[#This Row],[Unit_Cost_ZAR]]=""),"",tblSalesClean[[#This Row],[Net_Revenue_ZAR]]-(tblSalesClean[[#This Row],[Quantity]]*tblSalesClean[[#This Row],[Unit_Cost_ZAR]]))</f>
        <v>304</v>
      </c>
    </row>
    <row r="119" spans="1:13" ht="13.5" x14ac:dyDescent="0.25">
      <c r="A119" s="1" t="s">
        <v>144</v>
      </c>
      <c r="B119" s="3">
        <v>45712</v>
      </c>
      <c r="C119" s="1" t="s">
        <v>27</v>
      </c>
      <c r="D119" s="1" t="s">
        <v>22</v>
      </c>
      <c r="E119" s="1" t="s">
        <v>19</v>
      </c>
      <c r="F119" s="1">
        <v>4</v>
      </c>
      <c r="G119" s="1">
        <v>650</v>
      </c>
      <c r="H119" s="1">
        <v>340</v>
      </c>
      <c r="I119" s="1">
        <v>0</v>
      </c>
      <c r="J119" s="8" t="str">
        <f>IF(OR(tblSalesClean[[#This Row],[Quantity]]="",tblSalesClean[[#This Row],[Discount_Pct]]=""),"Incomplete","Complete")</f>
        <v>Complete</v>
      </c>
      <c r="K119" s="30">
        <f>IF(OR(tblSalesClean[[#This Row],[Quantity]]="",tblSalesClean[[#This Row],[Unit_Price_ZAR]]=""),"",tblSalesClean[[#This Row],[Quantity]]*tblSalesClean[[#This Row],[Unit_Price_ZAR]])</f>
        <v>2600</v>
      </c>
      <c r="L119" s="30">
        <f>IF(OR(tblSalesClean[[#This Row],[Gross_Revenue_ZAR]]="",tblSalesClean[[#This Row],[Discount_Pct]]=""),"",tblSalesClean[[#This Row],[Gross_Revenue_ZAR]]*(1-tblSalesClean[[#This Row],[Discount_Pct]]))</f>
        <v>2600</v>
      </c>
      <c r="M119" s="30">
        <f>IF(OR(tblSalesClean[[#This Row],[Net_Revenue_ZAR]]="",tblSalesClean[[#This Row],[Quantity]]="",tblSalesClean[[#This Row],[Unit_Cost_ZAR]]=""),"",tblSalesClean[[#This Row],[Net_Revenue_ZAR]]-(tblSalesClean[[#This Row],[Quantity]]*tblSalesClean[[#This Row],[Unit_Cost_ZAR]]))</f>
        <v>1240</v>
      </c>
    </row>
    <row r="120" spans="1:13" ht="13.5" x14ac:dyDescent="0.25">
      <c r="A120" s="1" t="s">
        <v>145</v>
      </c>
      <c r="B120" s="3">
        <v>45682</v>
      </c>
      <c r="C120" s="1" t="s">
        <v>27</v>
      </c>
      <c r="D120" s="1" t="s">
        <v>22</v>
      </c>
      <c r="E120" s="1" t="s">
        <v>19</v>
      </c>
      <c r="F120" s="1">
        <v>2</v>
      </c>
      <c r="G120" s="1">
        <v>650</v>
      </c>
      <c r="H120" s="1">
        <v>340</v>
      </c>
      <c r="I120" s="1">
        <v>0</v>
      </c>
      <c r="J120" s="8" t="str">
        <f>IF(OR(tblSalesClean[[#This Row],[Quantity]]="",tblSalesClean[[#This Row],[Discount_Pct]]=""),"Incomplete","Complete")</f>
        <v>Complete</v>
      </c>
      <c r="K120" s="30">
        <f>IF(OR(tblSalesClean[[#This Row],[Quantity]]="",tblSalesClean[[#This Row],[Unit_Price_ZAR]]=""),"",tblSalesClean[[#This Row],[Quantity]]*tblSalesClean[[#This Row],[Unit_Price_ZAR]])</f>
        <v>1300</v>
      </c>
      <c r="L120" s="30">
        <f>IF(OR(tblSalesClean[[#This Row],[Gross_Revenue_ZAR]]="",tblSalesClean[[#This Row],[Discount_Pct]]=""),"",tblSalesClean[[#This Row],[Gross_Revenue_ZAR]]*(1-tblSalesClean[[#This Row],[Discount_Pct]]))</f>
        <v>1300</v>
      </c>
      <c r="M120" s="30">
        <f>IF(OR(tblSalesClean[[#This Row],[Net_Revenue_ZAR]]="",tblSalesClean[[#This Row],[Quantity]]="",tblSalesClean[[#This Row],[Unit_Cost_ZAR]]=""),"",tblSalesClean[[#This Row],[Net_Revenue_ZAR]]-(tblSalesClean[[#This Row],[Quantity]]*tblSalesClean[[#This Row],[Unit_Cost_ZAR]]))</f>
        <v>620</v>
      </c>
    </row>
    <row r="121" spans="1:13" ht="13.5" x14ac:dyDescent="0.25">
      <c r="A121" s="1" t="s">
        <v>146</v>
      </c>
      <c r="B121" s="3">
        <v>45666</v>
      </c>
      <c r="C121" s="1" t="s">
        <v>10</v>
      </c>
      <c r="D121" s="1" t="s">
        <v>44</v>
      </c>
      <c r="E121" s="1" t="s">
        <v>12</v>
      </c>
      <c r="F121" s="1">
        <v>3</v>
      </c>
      <c r="G121" s="1">
        <v>1100</v>
      </c>
      <c r="H121" s="1">
        <v>650</v>
      </c>
      <c r="I121" s="1">
        <v>0</v>
      </c>
      <c r="J121" s="8" t="str">
        <f>IF(OR(tblSalesClean[[#This Row],[Quantity]]="",tblSalesClean[[#This Row],[Discount_Pct]]=""),"Incomplete","Complete")</f>
        <v>Complete</v>
      </c>
      <c r="K121" s="30">
        <f>IF(OR(tblSalesClean[[#This Row],[Quantity]]="",tblSalesClean[[#This Row],[Unit_Price_ZAR]]=""),"",tblSalesClean[[#This Row],[Quantity]]*tblSalesClean[[#This Row],[Unit_Price_ZAR]])</f>
        <v>3300</v>
      </c>
      <c r="L121" s="30">
        <f>IF(OR(tblSalesClean[[#This Row],[Gross_Revenue_ZAR]]="",tblSalesClean[[#This Row],[Discount_Pct]]=""),"",tblSalesClean[[#This Row],[Gross_Revenue_ZAR]]*(1-tblSalesClean[[#This Row],[Discount_Pct]]))</f>
        <v>3300</v>
      </c>
      <c r="M121" s="30">
        <f>IF(OR(tblSalesClean[[#This Row],[Net_Revenue_ZAR]]="",tblSalesClean[[#This Row],[Quantity]]="",tblSalesClean[[#This Row],[Unit_Cost_ZAR]]=""),"",tblSalesClean[[#This Row],[Net_Revenue_ZAR]]-(tblSalesClean[[#This Row],[Quantity]]*tblSalesClean[[#This Row],[Unit_Cost_ZAR]]))</f>
        <v>1350</v>
      </c>
    </row>
    <row r="122" spans="1:13" ht="13.5" x14ac:dyDescent="0.25">
      <c r="A122" s="1" t="s">
        <v>147</v>
      </c>
      <c r="B122" s="3">
        <v>45793</v>
      </c>
      <c r="C122" s="1" t="s">
        <v>21</v>
      </c>
      <c r="D122" s="1" t="s">
        <v>44</v>
      </c>
      <c r="E122" s="1" t="s">
        <v>12</v>
      </c>
      <c r="F122" s="1">
        <v>3</v>
      </c>
      <c r="G122" s="1">
        <v>1100</v>
      </c>
      <c r="H122" s="1">
        <v>650</v>
      </c>
      <c r="I122" s="1">
        <v>0</v>
      </c>
      <c r="J122" s="8" t="str">
        <f>IF(OR(tblSalesClean[[#This Row],[Quantity]]="",tblSalesClean[[#This Row],[Discount_Pct]]=""),"Incomplete","Complete")</f>
        <v>Complete</v>
      </c>
      <c r="K122" s="30">
        <f>IF(OR(tblSalesClean[[#This Row],[Quantity]]="",tblSalesClean[[#This Row],[Unit_Price_ZAR]]=""),"",tblSalesClean[[#This Row],[Quantity]]*tblSalesClean[[#This Row],[Unit_Price_ZAR]])</f>
        <v>3300</v>
      </c>
      <c r="L122" s="30">
        <f>IF(OR(tblSalesClean[[#This Row],[Gross_Revenue_ZAR]]="",tblSalesClean[[#This Row],[Discount_Pct]]=""),"",tblSalesClean[[#This Row],[Gross_Revenue_ZAR]]*(1-tblSalesClean[[#This Row],[Discount_Pct]]))</f>
        <v>3300</v>
      </c>
      <c r="M122" s="30">
        <f>IF(OR(tblSalesClean[[#This Row],[Net_Revenue_ZAR]]="",tblSalesClean[[#This Row],[Quantity]]="",tblSalesClean[[#This Row],[Unit_Cost_ZAR]]=""),"",tblSalesClean[[#This Row],[Net_Revenue_ZAR]]-(tblSalesClean[[#This Row],[Quantity]]*tblSalesClean[[#This Row],[Unit_Cost_ZAR]]))</f>
        <v>1350</v>
      </c>
    </row>
    <row r="123" spans="1:13" ht="13.5" x14ac:dyDescent="0.25">
      <c r="A123" s="1" t="s">
        <v>148</v>
      </c>
      <c r="B123" s="3">
        <v>45837</v>
      </c>
      <c r="C123" s="1" t="s">
        <v>10</v>
      </c>
      <c r="D123" s="1" t="s">
        <v>22</v>
      </c>
      <c r="E123" s="1" t="s">
        <v>19</v>
      </c>
      <c r="F123" s="1">
        <v>4</v>
      </c>
      <c r="G123" s="1">
        <v>650</v>
      </c>
      <c r="H123" s="1">
        <v>340</v>
      </c>
      <c r="I123" s="1">
        <v>0</v>
      </c>
      <c r="J123" s="8" t="str">
        <f>IF(OR(tblSalesClean[[#This Row],[Quantity]]="",tblSalesClean[[#This Row],[Discount_Pct]]=""),"Incomplete","Complete")</f>
        <v>Complete</v>
      </c>
      <c r="K123" s="30">
        <f>IF(OR(tblSalesClean[[#This Row],[Quantity]]="",tblSalesClean[[#This Row],[Unit_Price_ZAR]]=""),"",tblSalesClean[[#This Row],[Quantity]]*tblSalesClean[[#This Row],[Unit_Price_ZAR]])</f>
        <v>2600</v>
      </c>
      <c r="L123" s="30">
        <f>IF(OR(tblSalesClean[[#This Row],[Gross_Revenue_ZAR]]="",tblSalesClean[[#This Row],[Discount_Pct]]=""),"",tblSalesClean[[#This Row],[Gross_Revenue_ZAR]]*(1-tblSalesClean[[#This Row],[Discount_Pct]]))</f>
        <v>2600</v>
      </c>
      <c r="M123" s="30">
        <f>IF(OR(tblSalesClean[[#This Row],[Net_Revenue_ZAR]]="",tblSalesClean[[#This Row],[Quantity]]="",tblSalesClean[[#This Row],[Unit_Cost_ZAR]]=""),"",tblSalesClean[[#This Row],[Net_Revenue_ZAR]]-(tblSalesClean[[#This Row],[Quantity]]*tblSalesClean[[#This Row],[Unit_Cost_ZAR]]))</f>
        <v>1240</v>
      </c>
    </row>
    <row r="124" spans="1:13" ht="13.5" x14ac:dyDescent="0.25">
      <c r="A124" s="1" t="s">
        <v>149</v>
      </c>
      <c r="B124" s="3">
        <v>45886</v>
      </c>
      <c r="C124" s="1" t="s">
        <v>10</v>
      </c>
      <c r="D124" s="1" t="s">
        <v>63</v>
      </c>
      <c r="E124" s="1" t="s">
        <v>12</v>
      </c>
      <c r="F124" s="1">
        <v>3</v>
      </c>
      <c r="G124" s="1">
        <v>520</v>
      </c>
      <c r="H124" s="1">
        <v>290</v>
      </c>
      <c r="I124" s="1">
        <v>0.05</v>
      </c>
      <c r="J124" s="8" t="str">
        <f>IF(OR(tblSalesClean[[#This Row],[Quantity]]="",tblSalesClean[[#This Row],[Discount_Pct]]=""),"Incomplete","Complete")</f>
        <v>Complete</v>
      </c>
      <c r="K124" s="30">
        <f>IF(OR(tblSalesClean[[#This Row],[Quantity]]="",tblSalesClean[[#This Row],[Unit_Price_ZAR]]=""),"",tblSalesClean[[#This Row],[Quantity]]*tblSalesClean[[#This Row],[Unit_Price_ZAR]])</f>
        <v>1560</v>
      </c>
      <c r="L124" s="30">
        <f>IF(OR(tblSalesClean[[#This Row],[Gross_Revenue_ZAR]]="",tblSalesClean[[#This Row],[Discount_Pct]]=""),"",tblSalesClean[[#This Row],[Gross_Revenue_ZAR]]*(1-tblSalesClean[[#This Row],[Discount_Pct]]))</f>
        <v>1482</v>
      </c>
      <c r="M124" s="30">
        <f>IF(OR(tblSalesClean[[#This Row],[Net_Revenue_ZAR]]="",tblSalesClean[[#This Row],[Quantity]]="",tblSalesClean[[#This Row],[Unit_Cost_ZAR]]=""),"",tblSalesClean[[#This Row],[Net_Revenue_ZAR]]-(tblSalesClean[[#This Row],[Quantity]]*tblSalesClean[[#This Row],[Unit_Cost_ZAR]]))</f>
        <v>612</v>
      </c>
    </row>
    <row r="125" spans="1:13" ht="13.5" x14ac:dyDescent="0.25">
      <c r="A125" s="1" t="s">
        <v>150</v>
      </c>
      <c r="B125" s="3">
        <v>45692</v>
      </c>
      <c r="C125" s="1" t="s">
        <v>10</v>
      </c>
      <c r="D125" s="1" t="s">
        <v>18</v>
      </c>
      <c r="E125" s="1" t="s">
        <v>19</v>
      </c>
      <c r="F125" s="1">
        <v>4</v>
      </c>
      <c r="G125" s="1">
        <v>12500</v>
      </c>
      <c r="H125" s="1">
        <v>9400</v>
      </c>
      <c r="I125" s="1">
        <v>0.15</v>
      </c>
      <c r="J125" s="8" t="str">
        <f>IF(OR(tblSalesClean[[#This Row],[Quantity]]="",tblSalesClean[[#This Row],[Discount_Pct]]=""),"Incomplete","Complete")</f>
        <v>Complete</v>
      </c>
      <c r="K125" s="30">
        <f>IF(OR(tblSalesClean[[#This Row],[Quantity]]="",tblSalesClean[[#This Row],[Unit_Price_ZAR]]=""),"",tblSalesClean[[#This Row],[Quantity]]*tblSalesClean[[#This Row],[Unit_Price_ZAR]])</f>
        <v>50000</v>
      </c>
      <c r="L125" s="30">
        <f>IF(OR(tblSalesClean[[#This Row],[Gross_Revenue_ZAR]]="",tblSalesClean[[#This Row],[Discount_Pct]]=""),"",tblSalesClean[[#This Row],[Gross_Revenue_ZAR]]*(1-tblSalesClean[[#This Row],[Discount_Pct]]))</f>
        <v>42500</v>
      </c>
      <c r="M125" s="30">
        <f>IF(OR(tblSalesClean[[#This Row],[Net_Revenue_ZAR]]="",tblSalesClean[[#This Row],[Quantity]]="",tblSalesClean[[#This Row],[Unit_Cost_ZAR]]=""),"",tblSalesClean[[#This Row],[Net_Revenue_ZAR]]-(tblSalesClean[[#This Row],[Quantity]]*tblSalesClean[[#This Row],[Unit_Cost_ZAR]]))</f>
        <v>4900</v>
      </c>
    </row>
    <row r="126" spans="1:13" ht="13.5" x14ac:dyDescent="0.25">
      <c r="A126" s="1" t="s">
        <v>151</v>
      </c>
      <c r="B126" s="3">
        <v>45924</v>
      </c>
      <c r="C126" s="1" t="s">
        <v>17</v>
      </c>
      <c r="D126" s="1" t="s">
        <v>44</v>
      </c>
      <c r="E126" s="1" t="s">
        <v>12</v>
      </c>
      <c r="F126" s="1">
        <v>2</v>
      </c>
      <c r="G126" s="1">
        <v>1100</v>
      </c>
      <c r="H126" s="1">
        <v>650</v>
      </c>
      <c r="I126" s="1">
        <v>0</v>
      </c>
      <c r="J126" s="8" t="str">
        <f>IF(OR(tblSalesClean[[#This Row],[Quantity]]="",tblSalesClean[[#This Row],[Discount_Pct]]=""),"Incomplete","Complete")</f>
        <v>Complete</v>
      </c>
      <c r="K126" s="30">
        <f>IF(OR(tblSalesClean[[#This Row],[Quantity]]="",tblSalesClean[[#This Row],[Unit_Price_ZAR]]=""),"",tblSalesClean[[#This Row],[Quantity]]*tblSalesClean[[#This Row],[Unit_Price_ZAR]])</f>
        <v>2200</v>
      </c>
      <c r="L126" s="30">
        <f>IF(OR(tblSalesClean[[#This Row],[Gross_Revenue_ZAR]]="",tblSalesClean[[#This Row],[Discount_Pct]]=""),"",tblSalesClean[[#This Row],[Gross_Revenue_ZAR]]*(1-tblSalesClean[[#This Row],[Discount_Pct]]))</f>
        <v>2200</v>
      </c>
      <c r="M126" s="30">
        <f>IF(OR(tblSalesClean[[#This Row],[Net_Revenue_ZAR]]="",tblSalesClean[[#This Row],[Quantity]]="",tblSalesClean[[#This Row],[Unit_Cost_ZAR]]=""),"",tblSalesClean[[#This Row],[Net_Revenue_ZAR]]-(tblSalesClean[[#This Row],[Quantity]]*tblSalesClean[[#This Row],[Unit_Cost_ZAR]]))</f>
        <v>900</v>
      </c>
    </row>
    <row r="127" spans="1:13" ht="13.5" x14ac:dyDescent="0.25">
      <c r="A127" s="1" t="s">
        <v>152</v>
      </c>
      <c r="B127" s="3">
        <v>45983</v>
      </c>
      <c r="C127" s="1" t="s">
        <v>21</v>
      </c>
      <c r="D127" s="1" t="s">
        <v>18</v>
      </c>
      <c r="E127" s="1" t="s">
        <v>19</v>
      </c>
      <c r="F127" s="1">
        <v>6</v>
      </c>
      <c r="G127" s="1">
        <v>12500</v>
      </c>
      <c r="H127" s="1">
        <v>9400</v>
      </c>
      <c r="I127" s="1">
        <v>0.1</v>
      </c>
      <c r="J127" s="8" t="str">
        <f>IF(OR(tblSalesClean[[#This Row],[Quantity]]="",tblSalesClean[[#This Row],[Discount_Pct]]=""),"Incomplete","Complete")</f>
        <v>Complete</v>
      </c>
      <c r="K127" s="30">
        <f>IF(OR(tblSalesClean[[#This Row],[Quantity]]="",tblSalesClean[[#This Row],[Unit_Price_ZAR]]=""),"",tblSalesClean[[#This Row],[Quantity]]*tblSalesClean[[#This Row],[Unit_Price_ZAR]])</f>
        <v>75000</v>
      </c>
      <c r="L127" s="30">
        <f>IF(OR(tblSalesClean[[#This Row],[Gross_Revenue_ZAR]]="",tblSalesClean[[#This Row],[Discount_Pct]]=""),"",tblSalesClean[[#This Row],[Gross_Revenue_ZAR]]*(1-tblSalesClean[[#This Row],[Discount_Pct]]))</f>
        <v>67500</v>
      </c>
      <c r="M127" s="30">
        <f>IF(OR(tblSalesClean[[#This Row],[Net_Revenue_ZAR]]="",tblSalesClean[[#This Row],[Quantity]]="",tblSalesClean[[#This Row],[Unit_Cost_ZAR]]=""),"",tblSalesClean[[#This Row],[Net_Revenue_ZAR]]-(tblSalesClean[[#This Row],[Quantity]]*tblSalesClean[[#This Row],[Unit_Cost_ZAR]]))</f>
        <v>11100</v>
      </c>
    </row>
    <row r="128" spans="1:13" ht="13.5" x14ac:dyDescent="0.25">
      <c r="A128" s="1" t="s">
        <v>153</v>
      </c>
      <c r="B128" s="3">
        <v>45662</v>
      </c>
      <c r="C128" s="1" t="s">
        <v>27</v>
      </c>
      <c r="D128" s="1" t="s">
        <v>14</v>
      </c>
      <c r="E128" s="1" t="s">
        <v>15</v>
      </c>
      <c r="F128" s="1">
        <v>6</v>
      </c>
      <c r="G128" s="1">
        <v>2100</v>
      </c>
      <c r="H128" s="1">
        <v>1350</v>
      </c>
      <c r="I128" s="1">
        <v>0.1</v>
      </c>
      <c r="J128" s="8" t="str">
        <f>IF(OR(tblSalesClean[[#This Row],[Quantity]]="",tblSalesClean[[#This Row],[Discount_Pct]]=""),"Incomplete","Complete")</f>
        <v>Complete</v>
      </c>
      <c r="K128" s="30">
        <f>IF(OR(tblSalesClean[[#This Row],[Quantity]]="",tblSalesClean[[#This Row],[Unit_Price_ZAR]]=""),"",tblSalesClean[[#This Row],[Quantity]]*tblSalesClean[[#This Row],[Unit_Price_ZAR]])</f>
        <v>12600</v>
      </c>
      <c r="L128" s="30">
        <f>IF(OR(tblSalesClean[[#This Row],[Gross_Revenue_ZAR]]="",tblSalesClean[[#This Row],[Discount_Pct]]=""),"",tblSalesClean[[#This Row],[Gross_Revenue_ZAR]]*(1-tblSalesClean[[#This Row],[Discount_Pct]]))</f>
        <v>11340</v>
      </c>
      <c r="M128" s="30">
        <f>IF(OR(tblSalesClean[[#This Row],[Net_Revenue_ZAR]]="",tblSalesClean[[#This Row],[Quantity]]="",tblSalesClean[[#This Row],[Unit_Cost_ZAR]]=""),"",tblSalesClean[[#This Row],[Net_Revenue_ZAR]]-(tblSalesClean[[#This Row],[Quantity]]*tblSalesClean[[#This Row],[Unit_Cost_ZAR]]))</f>
        <v>3240</v>
      </c>
    </row>
    <row r="129" spans="1:13" ht="13.5" x14ac:dyDescent="0.25">
      <c r="A129" s="1" t="s">
        <v>154</v>
      </c>
      <c r="B129" s="3">
        <v>45976</v>
      </c>
      <c r="C129" s="1" t="s">
        <v>27</v>
      </c>
      <c r="D129" s="1" t="s">
        <v>63</v>
      </c>
      <c r="E129" s="1" t="s">
        <v>12</v>
      </c>
      <c r="F129" s="1">
        <v>3</v>
      </c>
      <c r="G129" s="1">
        <v>520</v>
      </c>
      <c r="H129" s="1">
        <v>290</v>
      </c>
      <c r="I129" s="1">
        <v>0.1</v>
      </c>
      <c r="J129" s="8" t="str">
        <f>IF(OR(tblSalesClean[[#This Row],[Quantity]]="",tblSalesClean[[#This Row],[Discount_Pct]]=""),"Incomplete","Complete")</f>
        <v>Complete</v>
      </c>
      <c r="K129" s="30">
        <f>IF(OR(tblSalesClean[[#This Row],[Quantity]]="",tblSalesClean[[#This Row],[Unit_Price_ZAR]]=""),"",tblSalesClean[[#This Row],[Quantity]]*tblSalesClean[[#This Row],[Unit_Price_ZAR]])</f>
        <v>1560</v>
      </c>
      <c r="L129" s="30">
        <f>IF(OR(tblSalesClean[[#This Row],[Gross_Revenue_ZAR]]="",tblSalesClean[[#This Row],[Discount_Pct]]=""),"",tblSalesClean[[#This Row],[Gross_Revenue_ZAR]]*(1-tblSalesClean[[#This Row],[Discount_Pct]]))</f>
        <v>1404</v>
      </c>
      <c r="M129" s="30">
        <f>IF(OR(tblSalesClean[[#This Row],[Net_Revenue_ZAR]]="",tblSalesClean[[#This Row],[Quantity]]="",tblSalesClean[[#This Row],[Unit_Cost_ZAR]]=""),"",tblSalesClean[[#This Row],[Net_Revenue_ZAR]]-(tblSalesClean[[#This Row],[Quantity]]*tblSalesClean[[#This Row],[Unit_Cost_ZAR]]))</f>
        <v>534</v>
      </c>
    </row>
    <row r="130" spans="1:13" ht="13.5" x14ac:dyDescent="0.25">
      <c r="A130" s="1" t="s">
        <v>155</v>
      </c>
      <c r="B130" s="3">
        <v>45770</v>
      </c>
      <c r="C130" s="1" t="s">
        <v>17</v>
      </c>
      <c r="D130" s="1" t="s">
        <v>22</v>
      </c>
      <c r="E130" s="1" t="s">
        <v>19</v>
      </c>
      <c r="F130" s="1">
        <v>6</v>
      </c>
      <c r="G130" s="1">
        <v>650</v>
      </c>
      <c r="H130" s="1">
        <v>340</v>
      </c>
      <c r="I130" s="1">
        <v>0</v>
      </c>
      <c r="J130" s="8" t="str">
        <f>IF(OR(tblSalesClean[[#This Row],[Quantity]]="",tblSalesClean[[#This Row],[Discount_Pct]]=""),"Incomplete","Complete")</f>
        <v>Complete</v>
      </c>
      <c r="K130" s="30">
        <f>IF(OR(tblSalesClean[[#This Row],[Quantity]]="",tblSalesClean[[#This Row],[Unit_Price_ZAR]]=""),"",tblSalesClean[[#This Row],[Quantity]]*tblSalesClean[[#This Row],[Unit_Price_ZAR]])</f>
        <v>3900</v>
      </c>
      <c r="L130" s="30">
        <f>IF(OR(tblSalesClean[[#This Row],[Gross_Revenue_ZAR]]="",tblSalesClean[[#This Row],[Discount_Pct]]=""),"",tblSalesClean[[#This Row],[Gross_Revenue_ZAR]]*(1-tblSalesClean[[#This Row],[Discount_Pct]]))</f>
        <v>3900</v>
      </c>
      <c r="M130" s="30">
        <f>IF(OR(tblSalesClean[[#This Row],[Net_Revenue_ZAR]]="",tblSalesClean[[#This Row],[Quantity]]="",tblSalesClean[[#This Row],[Unit_Cost_ZAR]]=""),"",tblSalesClean[[#This Row],[Net_Revenue_ZAR]]-(tblSalesClean[[#This Row],[Quantity]]*tblSalesClean[[#This Row],[Unit_Cost_ZAR]]))</f>
        <v>1860</v>
      </c>
    </row>
    <row r="131" spans="1:13" ht="13.5" x14ac:dyDescent="0.25">
      <c r="A131" s="1" t="s">
        <v>156</v>
      </c>
      <c r="B131" s="3">
        <v>45745</v>
      </c>
      <c r="C131" s="1" t="s">
        <v>17</v>
      </c>
      <c r="D131" s="1" t="s">
        <v>44</v>
      </c>
      <c r="E131" s="1" t="s">
        <v>12</v>
      </c>
      <c r="F131" s="1">
        <v>1</v>
      </c>
      <c r="G131" s="1">
        <v>1100</v>
      </c>
      <c r="H131" s="1">
        <v>650</v>
      </c>
      <c r="I131" s="1">
        <v>0.15</v>
      </c>
      <c r="J131" s="8" t="str">
        <f>IF(OR(tblSalesClean[[#This Row],[Quantity]]="",tblSalesClean[[#This Row],[Discount_Pct]]=""),"Incomplete","Complete")</f>
        <v>Complete</v>
      </c>
      <c r="K131" s="30">
        <f>IF(OR(tblSalesClean[[#This Row],[Quantity]]="",tblSalesClean[[#This Row],[Unit_Price_ZAR]]=""),"",tblSalesClean[[#This Row],[Quantity]]*tblSalesClean[[#This Row],[Unit_Price_ZAR]])</f>
        <v>1100</v>
      </c>
      <c r="L131" s="30">
        <f>IF(OR(tblSalesClean[[#This Row],[Gross_Revenue_ZAR]]="",tblSalesClean[[#This Row],[Discount_Pct]]=""),"",tblSalesClean[[#This Row],[Gross_Revenue_ZAR]]*(1-tblSalesClean[[#This Row],[Discount_Pct]]))</f>
        <v>935</v>
      </c>
      <c r="M131" s="30">
        <f>IF(OR(tblSalesClean[[#This Row],[Net_Revenue_ZAR]]="",tblSalesClean[[#This Row],[Quantity]]="",tblSalesClean[[#This Row],[Unit_Cost_ZAR]]=""),"",tblSalesClean[[#This Row],[Net_Revenue_ZAR]]-(tblSalesClean[[#This Row],[Quantity]]*tblSalesClean[[#This Row],[Unit_Cost_ZAR]]))</f>
        <v>285</v>
      </c>
    </row>
    <row r="132" spans="1:13" ht="13.5" x14ac:dyDescent="0.25">
      <c r="A132" s="1" t="s">
        <v>157</v>
      </c>
      <c r="B132" s="3">
        <v>45734</v>
      </c>
      <c r="C132" s="1" t="s">
        <v>10</v>
      </c>
      <c r="D132" s="1" t="s">
        <v>25</v>
      </c>
      <c r="E132" s="1" t="s">
        <v>19</v>
      </c>
      <c r="F132" s="1">
        <v>6</v>
      </c>
      <c r="G132" s="1">
        <v>3400</v>
      </c>
      <c r="H132" s="1">
        <v>2300</v>
      </c>
      <c r="I132" s="1">
        <v>0.15</v>
      </c>
      <c r="J132" s="8" t="str">
        <f>IF(OR(tblSalesClean[[#This Row],[Quantity]]="",tblSalesClean[[#This Row],[Discount_Pct]]=""),"Incomplete","Complete")</f>
        <v>Complete</v>
      </c>
      <c r="K132" s="30">
        <f>IF(OR(tblSalesClean[[#This Row],[Quantity]]="",tblSalesClean[[#This Row],[Unit_Price_ZAR]]=""),"",tblSalesClean[[#This Row],[Quantity]]*tblSalesClean[[#This Row],[Unit_Price_ZAR]])</f>
        <v>20400</v>
      </c>
      <c r="L132" s="30">
        <f>IF(OR(tblSalesClean[[#This Row],[Gross_Revenue_ZAR]]="",tblSalesClean[[#This Row],[Discount_Pct]]=""),"",tblSalesClean[[#This Row],[Gross_Revenue_ZAR]]*(1-tblSalesClean[[#This Row],[Discount_Pct]]))</f>
        <v>17340</v>
      </c>
      <c r="M132" s="30">
        <f>IF(OR(tblSalesClean[[#This Row],[Net_Revenue_ZAR]]="",tblSalesClean[[#This Row],[Quantity]]="",tblSalesClean[[#This Row],[Unit_Cost_ZAR]]=""),"",tblSalesClean[[#This Row],[Net_Revenue_ZAR]]-(tblSalesClean[[#This Row],[Quantity]]*tblSalesClean[[#This Row],[Unit_Cost_ZAR]]))</f>
        <v>3540</v>
      </c>
    </row>
    <row r="133" spans="1:13" ht="13.5" x14ac:dyDescent="0.25">
      <c r="A133" s="1" t="s">
        <v>158</v>
      </c>
      <c r="B133" s="3">
        <v>45887</v>
      </c>
      <c r="C133" s="1" t="s">
        <v>27</v>
      </c>
      <c r="D133" s="1" t="s">
        <v>28</v>
      </c>
      <c r="E133" s="1" t="s">
        <v>15</v>
      </c>
      <c r="F133" s="1">
        <v>6</v>
      </c>
      <c r="G133" s="1">
        <v>2800</v>
      </c>
      <c r="H133" s="1">
        <v>1900</v>
      </c>
      <c r="I133" s="1">
        <v>0</v>
      </c>
      <c r="J133" s="8" t="str">
        <f>IF(OR(tblSalesClean[[#This Row],[Quantity]]="",tblSalesClean[[#This Row],[Discount_Pct]]=""),"Incomplete","Complete")</f>
        <v>Complete</v>
      </c>
      <c r="K133" s="30">
        <f>IF(OR(tblSalesClean[[#This Row],[Quantity]]="",tblSalesClean[[#This Row],[Unit_Price_ZAR]]=""),"",tblSalesClean[[#This Row],[Quantity]]*tblSalesClean[[#This Row],[Unit_Price_ZAR]])</f>
        <v>16800</v>
      </c>
      <c r="L133" s="30">
        <f>IF(OR(tblSalesClean[[#This Row],[Gross_Revenue_ZAR]]="",tblSalesClean[[#This Row],[Discount_Pct]]=""),"",tblSalesClean[[#This Row],[Gross_Revenue_ZAR]]*(1-tblSalesClean[[#This Row],[Discount_Pct]]))</f>
        <v>16800</v>
      </c>
      <c r="M133" s="30">
        <f>IF(OR(tblSalesClean[[#This Row],[Net_Revenue_ZAR]]="",tblSalesClean[[#This Row],[Quantity]]="",tblSalesClean[[#This Row],[Unit_Cost_ZAR]]=""),"",tblSalesClean[[#This Row],[Net_Revenue_ZAR]]-(tblSalesClean[[#This Row],[Quantity]]*tblSalesClean[[#This Row],[Unit_Cost_ZAR]]))</f>
        <v>5400</v>
      </c>
    </row>
    <row r="134" spans="1:13" ht="13.5" x14ac:dyDescent="0.25">
      <c r="A134" s="1" t="s">
        <v>159</v>
      </c>
      <c r="B134" s="3">
        <v>46006</v>
      </c>
      <c r="C134" s="1" t="s">
        <v>17</v>
      </c>
      <c r="D134" s="1" t="s">
        <v>14</v>
      </c>
      <c r="E134" s="1" t="s">
        <v>15</v>
      </c>
      <c r="F134" s="1">
        <v>1</v>
      </c>
      <c r="G134" s="1">
        <v>2100</v>
      </c>
      <c r="H134" s="1">
        <v>1350</v>
      </c>
      <c r="I134" s="1">
        <v>0.05</v>
      </c>
      <c r="J134" s="8" t="str">
        <f>IF(OR(tblSalesClean[[#This Row],[Quantity]]="",tblSalesClean[[#This Row],[Discount_Pct]]=""),"Incomplete","Complete")</f>
        <v>Complete</v>
      </c>
      <c r="K134" s="30">
        <f>IF(OR(tblSalesClean[[#This Row],[Quantity]]="",tblSalesClean[[#This Row],[Unit_Price_ZAR]]=""),"",tblSalesClean[[#This Row],[Quantity]]*tblSalesClean[[#This Row],[Unit_Price_ZAR]])</f>
        <v>2100</v>
      </c>
      <c r="L134" s="30">
        <f>IF(OR(tblSalesClean[[#This Row],[Gross_Revenue_ZAR]]="",tblSalesClean[[#This Row],[Discount_Pct]]=""),"",tblSalesClean[[#This Row],[Gross_Revenue_ZAR]]*(1-tblSalesClean[[#This Row],[Discount_Pct]]))</f>
        <v>1995</v>
      </c>
      <c r="M134" s="30">
        <f>IF(OR(tblSalesClean[[#This Row],[Net_Revenue_ZAR]]="",tblSalesClean[[#This Row],[Quantity]]="",tblSalesClean[[#This Row],[Unit_Cost_ZAR]]=""),"",tblSalesClean[[#This Row],[Net_Revenue_ZAR]]-(tblSalesClean[[#This Row],[Quantity]]*tblSalesClean[[#This Row],[Unit_Cost_ZAR]]))</f>
        <v>645</v>
      </c>
    </row>
    <row r="135" spans="1:13" ht="13.5" x14ac:dyDescent="0.25">
      <c r="A135" s="1" t="s">
        <v>160</v>
      </c>
      <c r="B135" s="3">
        <v>45987</v>
      </c>
      <c r="C135" s="1" t="s">
        <v>10</v>
      </c>
      <c r="D135" s="1" t="s">
        <v>22</v>
      </c>
      <c r="E135" s="1" t="s">
        <v>19</v>
      </c>
      <c r="F135" s="1">
        <v>6</v>
      </c>
      <c r="G135" s="1">
        <v>650</v>
      </c>
      <c r="H135" s="1">
        <v>340</v>
      </c>
      <c r="I135" s="1">
        <v>0.05</v>
      </c>
      <c r="J135" s="8" t="str">
        <f>IF(OR(tblSalesClean[[#This Row],[Quantity]]="",tblSalesClean[[#This Row],[Discount_Pct]]=""),"Incomplete","Complete")</f>
        <v>Complete</v>
      </c>
      <c r="K135" s="30">
        <f>IF(OR(tblSalesClean[[#This Row],[Quantity]]="",tblSalesClean[[#This Row],[Unit_Price_ZAR]]=""),"",tblSalesClean[[#This Row],[Quantity]]*tblSalesClean[[#This Row],[Unit_Price_ZAR]])</f>
        <v>3900</v>
      </c>
      <c r="L135" s="30">
        <f>IF(OR(tblSalesClean[[#This Row],[Gross_Revenue_ZAR]]="",tblSalesClean[[#This Row],[Discount_Pct]]=""),"",tblSalesClean[[#This Row],[Gross_Revenue_ZAR]]*(1-tblSalesClean[[#This Row],[Discount_Pct]]))</f>
        <v>3705</v>
      </c>
      <c r="M135" s="30">
        <f>IF(OR(tblSalesClean[[#This Row],[Net_Revenue_ZAR]]="",tblSalesClean[[#This Row],[Quantity]]="",tblSalesClean[[#This Row],[Unit_Cost_ZAR]]=""),"",tblSalesClean[[#This Row],[Net_Revenue_ZAR]]-(tblSalesClean[[#This Row],[Quantity]]*tblSalesClean[[#This Row],[Unit_Cost_ZAR]]))</f>
        <v>1665</v>
      </c>
    </row>
    <row r="136" spans="1:13" ht="13.5" x14ac:dyDescent="0.25">
      <c r="A136" s="1" t="s">
        <v>161</v>
      </c>
      <c r="B136" s="3">
        <v>45964</v>
      </c>
      <c r="C136" s="1" t="s">
        <v>21</v>
      </c>
      <c r="D136" s="1" t="s">
        <v>14</v>
      </c>
      <c r="E136" s="1" t="s">
        <v>15</v>
      </c>
      <c r="F136" s="1">
        <v>4</v>
      </c>
      <c r="G136" s="1">
        <v>2100</v>
      </c>
      <c r="H136" s="1">
        <v>1350</v>
      </c>
      <c r="I136" s="1">
        <v>0</v>
      </c>
      <c r="J136" s="8" t="str">
        <f>IF(OR(tblSalesClean[[#This Row],[Quantity]]="",tblSalesClean[[#This Row],[Discount_Pct]]=""),"Incomplete","Complete")</f>
        <v>Complete</v>
      </c>
      <c r="K136" s="30">
        <f>IF(OR(tblSalesClean[[#This Row],[Quantity]]="",tblSalesClean[[#This Row],[Unit_Price_ZAR]]=""),"",tblSalesClean[[#This Row],[Quantity]]*tblSalesClean[[#This Row],[Unit_Price_ZAR]])</f>
        <v>8400</v>
      </c>
      <c r="L136" s="30">
        <f>IF(OR(tblSalesClean[[#This Row],[Gross_Revenue_ZAR]]="",tblSalesClean[[#This Row],[Discount_Pct]]=""),"",tblSalesClean[[#This Row],[Gross_Revenue_ZAR]]*(1-tblSalesClean[[#This Row],[Discount_Pct]]))</f>
        <v>8400</v>
      </c>
      <c r="M136" s="30">
        <f>IF(OR(tblSalesClean[[#This Row],[Net_Revenue_ZAR]]="",tblSalesClean[[#This Row],[Quantity]]="",tblSalesClean[[#This Row],[Unit_Cost_ZAR]]=""),"",tblSalesClean[[#This Row],[Net_Revenue_ZAR]]-(tblSalesClean[[#This Row],[Quantity]]*tblSalesClean[[#This Row],[Unit_Cost_ZAR]]))</f>
        <v>3000</v>
      </c>
    </row>
    <row r="137" spans="1:13" ht="13.5" x14ac:dyDescent="0.25">
      <c r="A137" s="1" t="s">
        <v>162</v>
      </c>
      <c r="B137" s="3">
        <v>45875</v>
      </c>
      <c r="C137" s="1" t="s">
        <v>17</v>
      </c>
      <c r="D137" s="1" t="s">
        <v>25</v>
      </c>
      <c r="E137" s="1" t="s">
        <v>19</v>
      </c>
      <c r="F137" s="1">
        <v>6</v>
      </c>
      <c r="G137" s="1">
        <v>3400</v>
      </c>
      <c r="H137" s="1">
        <v>2300</v>
      </c>
      <c r="I137" s="1">
        <v>0.15</v>
      </c>
      <c r="J137" s="8" t="str">
        <f>IF(OR(tblSalesClean[[#This Row],[Quantity]]="",tblSalesClean[[#This Row],[Discount_Pct]]=""),"Incomplete","Complete")</f>
        <v>Complete</v>
      </c>
      <c r="K137" s="30">
        <f>IF(OR(tblSalesClean[[#This Row],[Quantity]]="",tblSalesClean[[#This Row],[Unit_Price_ZAR]]=""),"",tblSalesClean[[#This Row],[Quantity]]*tblSalesClean[[#This Row],[Unit_Price_ZAR]])</f>
        <v>20400</v>
      </c>
      <c r="L137" s="30">
        <f>IF(OR(tblSalesClean[[#This Row],[Gross_Revenue_ZAR]]="",tblSalesClean[[#This Row],[Discount_Pct]]=""),"",tblSalesClean[[#This Row],[Gross_Revenue_ZAR]]*(1-tblSalesClean[[#This Row],[Discount_Pct]]))</f>
        <v>17340</v>
      </c>
      <c r="M137" s="30">
        <f>IF(OR(tblSalesClean[[#This Row],[Net_Revenue_ZAR]]="",tblSalesClean[[#This Row],[Quantity]]="",tblSalesClean[[#This Row],[Unit_Cost_ZAR]]=""),"",tblSalesClean[[#This Row],[Net_Revenue_ZAR]]-(tblSalesClean[[#This Row],[Quantity]]*tblSalesClean[[#This Row],[Unit_Cost_ZAR]]))</f>
        <v>3540</v>
      </c>
    </row>
    <row r="138" spans="1:13" ht="13.5" x14ac:dyDescent="0.25">
      <c r="A138" s="1" t="s">
        <v>163</v>
      </c>
      <c r="B138" s="3">
        <v>45971</v>
      </c>
      <c r="C138" s="1" t="s">
        <v>17</v>
      </c>
      <c r="D138" s="1" t="s">
        <v>44</v>
      </c>
      <c r="E138" s="1" t="s">
        <v>12</v>
      </c>
      <c r="F138" s="1">
        <v>1</v>
      </c>
      <c r="G138" s="1">
        <v>1100</v>
      </c>
      <c r="H138" s="1">
        <v>650</v>
      </c>
      <c r="I138" s="1">
        <v>0.1</v>
      </c>
      <c r="J138" s="8" t="str">
        <f>IF(OR(tblSalesClean[[#This Row],[Quantity]]="",tblSalesClean[[#This Row],[Discount_Pct]]=""),"Incomplete","Complete")</f>
        <v>Complete</v>
      </c>
      <c r="K138" s="30">
        <f>IF(OR(tblSalesClean[[#This Row],[Quantity]]="",tblSalesClean[[#This Row],[Unit_Price_ZAR]]=""),"",tblSalesClean[[#This Row],[Quantity]]*tblSalesClean[[#This Row],[Unit_Price_ZAR]])</f>
        <v>1100</v>
      </c>
      <c r="L138" s="30">
        <f>IF(OR(tblSalesClean[[#This Row],[Gross_Revenue_ZAR]]="",tblSalesClean[[#This Row],[Discount_Pct]]=""),"",tblSalesClean[[#This Row],[Gross_Revenue_ZAR]]*(1-tblSalesClean[[#This Row],[Discount_Pct]]))</f>
        <v>990</v>
      </c>
      <c r="M138" s="30">
        <f>IF(OR(tblSalesClean[[#This Row],[Net_Revenue_ZAR]]="",tblSalesClean[[#This Row],[Quantity]]="",tblSalesClean[[#This Row],[Unit_Cost_ZAR]]=""),"",tblSalesClean[[#This Row],[Net_Revenue_ZAR]]-(tblSalesClean[[#This Row],[Quantity]]*tblSalesClean[[#This Row],[Unit_Cost_ZAR]]))</f>
        <v>340</v>
      </c>
    </row>
    <row r="139" spans="1:13" ht="13.5" x14ac:dyDescent="0.25">
      <c r="A139" s="1" t="s">
        <v>164</v>
      </c>
      <c r="B139" s="3">
        <v>45934</v>
      </c>
      <c r="C139" s="1" t="s">
        <v>10</v>
      </c>
      <c r="D139" s="1" t="s">
        <v>18</v>
      </c>
      <c r="E139" s="1" t="s">
        <v>19</v>
      </c>
      <c r="F139" s="1">
        <v>3</v>
      </c>
      <c r="G139" s="1">
        <v>12500</v>
      </c>
      <c r="H139" s="1">
        <v>9400</v>
      </c>
      <c r="I139" s="1">
        <v>0.05</v>
      </c>
      <c r="J139" s="8" t="str">
        <f>IF(OR(tblSalesClean[[#This Row],[Quantity]]="",tblSalesClean[[#This Row],[Discount_Pct]]=""),"Incomplete","Complete")</f>
        <v>Complete</v>
      </c>
      <c r="K139" s="30">
        <f>IF(OR(tblSalesClean[[#This Row],[Quantity]]="",tblSalesClean[[#This Row],[Unit_Price_ZAR]]=""),"",tblSalesClean[[#This Row],[Quantity]]*tblSalesClean[[#This Row],[Unit_Price_ZAR]])</f>
        <v>37500</v>
      </c>
      <c r="L139" s="30">
        <f>IF(OR(tblSalesClean[[#This Row],[Gross_Revenue_ZAR]]="",tblSalesClean[[#This Row],[Discount_Pct]]=""),"",tblSalesClean[[#This Row],[Gross_Revenue_ZAR]]*(1-tblSalesClean[[#This Row],[Discount_Pct]]))</f>
        <v>35625</v>
      </c>
      <c r="M139" s="30">
        <f>IF(OR(tblSalesClean[[#This Row],[Net_Revenue_ZAR]]="",tblSalesClean[[#This Row],[Quantity]]="",tblSalesClean[[#This Row],[Unit_Cost_ZAR]]=""),"",tblSalesClean[[#This Row],[Net_Revenue_ZAR]]-(tblSalesClean[[#This Row],[Quantity]]*tblSalesClean[[#This Row],[Unit_Cost_ZAR]]))</f>
        <v>7425</v>
      </c>
    </row>
    <row r="140" spans="1:13" ht="13.5" x14ac:dyDescent="0.25">
      <c r="A140" s="1" t="s">
        <v>165</v>
      </c>
      <c r="B140" s="3">
        <v>45921</v>
      </c>
      <c r="C140" s="1" t="s">
        <v>10</v>
      </c>
      <c r="D140" s="1" t="s">
        <v>54</v>
      </c>
      <c r="E140" s="1" t="s">
        <v>15</v>
      </c>
      <c r="F140" s="1">
        <v>5</v>
      </c>
      <c r="G140" s="1">
        <v>3900</v>
      </c>
      <c r="H140" s="1">
        <v>2700</v>
      </c>
      <c r="I140" s="1">
        <v>0</v>
      </c>
      <c r="J140" s="8" t="str">
        <f>IF(OR(tblSalesClean[[#This Row],[Quantity]]="",tblSalesClean[[#This Row],[Discount_Pct]]=""),"Incomplete","Complete")</f>
        <v>Complete</v>
      </c>
      <c r="K140" s="30">
        <f>IF(OR(tblSalesClean[[#This Row],[Quantity]]="",tblSalesClean[[#This Row],[Unit_Price_ZAR]]=""),"",tblSalesClean[[#This Row],[Quantity]]*tblSalesClean[[#This Row],[Unit_Price_ZAR]])</f>
        <v>19500</v>
      </c>
      <c r="L140" s="30">
        <f>IF(OR(tblSalesClean[[#This Row],[Gross_Revenue_ZAR]]="",tblSalesClean[[#This Row],[Discount_Pct]]=""),"",tblSalesClean[[#This Row],[Gross_Revenue_ZAR]]*(1-tblSalesClean[[#This Row],[Discount_Pct]]))</f>
        <v>19500</v>
      </c>
      <c r="M140" s="30">
        <f>IF(OR(tblSalesClean[[#This Row],[Net_Revenue_ZAR]]="",tblSalesClean[[#This Row],[Quantity]]="",tblSalesClean[[#This Row],[Unit_Cost_ZAR]]=""),"",tblSalesClean[[#This Row],[Net_Revenue_ZAR]]-(tblSalesClean[[#This Row],[Quantity]]*tblSalesClean[[#This Row],[Unit_Cost_ZAR]]))</f>
        <v>6000</v>
      </c>
    </row>
    <row r="141" spans="1:13" ht="13.5" x14ac:dyDescent="0.25">
      <c r="A141" s="1" t="s">
        <v>166</v>
      </c>
      <c r="B141" s="3">
        <v>45699</v>
      </c>
      <c r="C141" s="1" t="s">
        <v>21</v>
      </c>
      <c r="D141" s="1" t="s">
        <v>54</v>
      </c>
      <c r="E141" s="1" t="s">
        <v>15</v>
      </c>
      <c r="F141" s="1">
        <v>6</v>
      </c>
      <c r="G141" s="1">
        <v>3900</v>
      </c>
      <c r="H141" s="1">
        <v>2700</v>
      </c>
      <c r="I141" s="1">
        <v>0</v>
      </c>
      <c r="J141" s="8" t="str">
        <f>IF(OR(tblSalesClean[[#This Row],[Quantity]]="",tblSalesClean[[#This Row],[Discount_Pct]]=""),"Incomplete","Complete")</f>
        <v>Complete</v>
      </c>
      <c r="K141" s="30">
        <f>IF(OR(tblSalesClean[[#This Row],[Quantity]]="",tblSalesClean[[#This Row],[Unit_Price_ZAR]]=""),"",tblSalesClean[[#This Row],[Quantity]]*tblSalesClean[[#This Row],[Unit_Price_ZAR]])</f>
        <v>23400</v>
      </c>
      <c r="L141" s="30">
        <f>IF(OR(tblSalesClean[[#This Row],[Gross_Revenue_ZAR]]="",tblSalesClean[[#This Row],[Discount_Pct]]=""),"",tblSalesClean[[#This Row],[Gross_Revenue_ZAR]]*(1-tblSalesClean[[#This Row],[Discount_Pct]]))</f>
        <v>23400</v>
      </c>
      <c r="M141" s="30">
        <f>IF(OR(tblSalesClean[[#This Row],[Net_Revenue_ZAR]]="",tblSalesClean[[#This Row],[Quantity]]="",tblSalesClean[[#This Row],[Unit_Cost_ZAR]]=""),"",tblSalesClean[[#This Row],[Net_Revenue_ZAR]]-(tblSalesClean[[#This Row],[Quantity]]*tblSalesClean[[#This Row],[Unit_Cost_ZAR]]))</f>
        <v>7200</v>
      </c>
    </row>
    <row r="142" spans="1:13" ht="13.5" x14ac:dyDescent="0.25">
      <c r="A142" s="1" t="s">
        <v>167</v>
      </c>
      <c r="B142" s="3">
        <v>45687</v>
      </c>
      <c r="C142" s="1" t="s">
        <v>27</v>
      </c>
      <c r="D142" s="1" t="s">
        <v>28</v>
      </c>
      <c r="E142" s="1" t="s">
        <v>15</v>
      </c>
      <c r="F142" s="1">
        <v>2</v>
      </c>
      <c r="G142" s="1">
        <v>2800</v>
      </c>
      <c r="H142" s="1">
        <v>1900</v>
      </c>
      <c r="I142" s="1">
        <v>0.1</v>
      </c>
      <c r="J142" s="8" t="str">
        <f>IF(OR(tblSalesClean[[#This Row],[Quantity]]="",tblSalesClean[[#This Row],[Discount_Pct]]=""),"Incomplete","Complete")</f>
        <v>Complete</v>
      </c>
      <c r="K142" s="30">
        <f>IF(OR(tblSalesClean[[#This Row],[Quantity]]="",tblSalesClean[[#This Row],[Unit_Price_ZAR]]=""),"",tblSalesClean[[#This Row],[Quantity]]*tblSalesClean[[#This Row],[Unit_Price_ZAR]])</f>
        <v>5600</v>
      </c>
      <c r="L142" s="30">
        <f>IF(OR(tblSalesClean[[#This Row],[Gross_Revenue_ZAR]]="",tblSalesClean[[#This Row],[Discount_Pct]]=""),"",tblSalesClean[[#This Row],[Gross_Revenue_ZAR]]*(1-tblSalesClean[[#This Row],[Discount_Pct]]))</f>
        <v>5040</v>
      </c>
      <c r="M142" s="30">
        <f>IF(OR(tblSalesClean[[#This Row],[Net_Revenue_ZAR]]="",tblSalesClean[[#This Row],[Quantity]]="",tblSalesClean[[#This Row],[Unit_Cost_ZAR]]=""),"",tblSalesClean[[#This Row],[Net_Revenue_ZAR]]-(tblSalesClean[[#This Row],[Quantity]]*tblSalesClean[[#This Row],[Unit_Cost_ZAR]]))</f>
        <v>1240</v>
      </c>
    </row>
    <row r="143" spans="1:13" ht="13.5" x14ac:dyDescent="0.25">
      <c r="A143" s="1" t="s">
        <v>168</v>
      </c>
      <c r="B143" s="3">
        <v>45858</v>
      </c>
      <c r="C143" s="1" t="s">
        <v>27</v>
      </c>
      <c r="D143" s="1" t="s">
        <v>28</v>
      </c>
      <c r="E143" s="1" t="s">
        <v>15</v>
      </c>
      <c r="F143" s="1">
        <v>6</v>
      </c>
      <c r="G143" s="1">
        <v>2800</v>
      </c>
      <c r="H143" s="1">
        <v>1900</v>
      </c>
      <c r="I143" s="1">
        <v>0</v>
      </c>
      <c r="J143" s="8" t="str">
        <f>IF(OR(tblSalesClean[[#This Row],[Quantity]]="",tblSalesClean[[#This Row],[Discount_Pct]]=""),"Incomplete","Complete")</f>
        <v>Complete</v>
      </c>
      <c r="K143" s="30">
        <f>IF(OR(tblSalesClean[[#This Row],[Quantity]]="",tblSalesClean[[#This Row],[Unit_Price_ZAR]]=""),"",tblSalesClean[[#This Row],[Quantity]]*tblSalesClean[[#This Row],[Unit_Price_ZAR]])</f>
        <v>16800</v>
      </c>
      <c r="L143" s="30">
        <f>IF(OR(tblSalesClean[[#This Row],[Gross_Revenue_ZAR]]="",tblSalesClean[[#This Row],[Discount_Pct]]=""),"",tblSalesClean[[#This Row],[Gross_Revenue_ZAR]]*(1-tblSalesClean[[#This Row],[Discount_Pct]]))</f>
        <v>16800</v>
      </c>
      <c r="M143" s="30">
        <f>IF(OR(tblSalesClean[[#This Row],[Net_Revenue_ZAR]]="",tblSalesClean[[#This Row],[Quantity]]="",tblSalesClean[[#This Row],[Unit_Cost_ZAR]]=""),"",tblSalesClean[[#This Row],[Net_Revenue_ZAR]]-(tblSalesClean[[#This Row],[Quantity]]*tblSalesClean[[#This Row],[Unit_Cost_ZAR]]))</f>
        <v>5400</v>
      </c>
    </row>
    <row r="144" spans="1:13" ht="13.5" x14ac:dyDescent="0.25">
      <c r="A144" s="1" t="s">
        <v>169</v>
      </c>
      <c r="B144" s="3">
        <v>45768</v>
      </c>
      <c r="C144" s="1" t="s">
        <v>10</v>
      </c>
      <c r="D144" s="1" t="s">
        <v>54</v>
      </c>
      <c r="E144" s="1" t="s">
        <v>15</v>
      </c>
      <c r="F144" s="1">
        <v>5</v>
      </c>
      <c r="G144" s="1">
        <v>3900</v>
      </c>
      <c r="H144" s="1">
        <v>2700</v>
      </c>
      <c r="I144" s="1">
        <v>0</v>
      </c>
      <c r="J144" s="8" t="str">
        <f>IF(OR(tblSalesClean[[#This Row],[Quantity]]="",tblSalesClean[[#This Row],[Discount_Pct]]=""),"Incomplete","Complete")</f>
        <v>Complete</v>
      </c>
      <c r="K144" s="30">
        <f>IF(OR(tblSalesClean[[#This Row],[Quantity]]="",tblSalesClean[[#This Row],[Unit_Price_ZAR]]=""),"",tblSalesClean[[#This Row],[Quantity]]*tblSalesClean[[#This Row],[Unit_Price_ZAR]])</f>
        <v>19500</v>
      </c>
      <c r="L144" s="30">
        <f>IF(OR(tblSalesClean[[#This Row],[Gross_Revenue_ZAR]]="",tblSalesClean[[#This Row],[Discount_Pct]]=""),"",tblSalesClean[[#This Row],[Gross_Revenue_ZAR]]*(1-tblSalesClean[[#This Row],[Discount_Pct]]))</f>
        <v>19500</v>
      </c>
      <c r="M144" s="30">
        <f>IF(OR(tblSalesClean[[#This Row],[Net_Revenue_ZAR]]="",tblSalesClean[[#This Row],[Quantity]]="",tblSalesClean[[#This Row],[Unit_Cost_ZAR]]=""),"",tblSalesClean[[#This Row],[Net_Revenue_ZAR]]-(tblSalesClean[[#This Row],[Quantity]]*tblSalesClean[[#This Row],[Unit_Cost_ZAR]]))</f>
        <v>6000</v>
      </c>
    </row>
    <row r="145" spans="1:13" ht="13.5" x14ac:dyDescent="0.25">
      <c r="A145" s="1" t="s">
        <v>170</v>
      </c>
      <c r="B145" s="3">
        <v>45922</v>
      </c>
      <c r="C145" s="1" t="s">
        <v>27</v>
      </c>
      <c r="D145" s="1" t="s">
        <v>11</v>
      </c>
      <c r="E145" s="1" t="s">
        <v>12</v>
      </c>
      <c r="F145" s="1">
        <v>5</v>
      </c>
      <c r="G145" s="1">
        <v>1850</v>
      </c>
      <c r="H145" s="1">
        <v>1200</v>
      </c>
      <c r="I145" s="1">
        <v>0</v>
      </c>
      <c r="J145" s="8" t="str">
        <f>IF(OR(tblSalesClean[[#This Row],[Quantity]]="",tblSalesClean[[#This Row],[Discount_Pct]]=""),"Incomplete","Complete")</f>
        <v>Complete</v>
      </c>
      <c r="K145" s="30">
        <f>IF(OR(tblSalesClean[[#This Row],[Quantity]]="",tblSalesClean[[#This Row],[Unit_Price_ZAR]]=""),"",tblSalesClean[[#This Row],[Quantity]]*tblSalesClean[[#This Row],[Unit_Price_ZAR]])</f>
        <v>9250</v>
      </c>
      <c r="L145" s="30">
        <f>IF(OR(tblSalesClean[[#This Row],[Gross_Revenue_ZAR]]="",tblSalesClean[[#This Row],[Discount_Pct]]=""),"",tblSalesClean[[#This Row],[Gross_Revenue_ZAR]]*(1-tblSalesClean[[#This Row],[Discount_Pct]]))</f>
        <v>9250</v>
      </c>
      <c r="M145" s="30">
        <f>IF(OR(tblSalesClean[[#This Row],[Net_Revenue_ZAR]]="",tblSalesClean[[#This Row],[Quantity]]="",tblSalesClean[[#This Row],[Unit_Cost_ZAR]]=""),"",tblSalesClean[[#This Row],[Net_Revenue_ZAR]]-(tblSalesClean[[#This Row],[Quantity]]*tblSalesClean[[#This Row],[Unit_Cost_ZAR]]))</f>
        <v>3250</v>
      </c>
    </row>
    <row r="146" spans="1:13" ht="13.5" x14ac:dyDescent="0.25">
      <c r="A146" s="1" t="s">
        <v>171</v>
      </c>
      <c r="B146" s="3">
        <v>45885</v>
      </c>
      <c r="C146" s="1" t="s">
        <v>17</v>
      </c>
      <c r="D146" s="1" t="s">
        <v>14</v>
      </c>
      <c r="E146" s="1" t="s">
        <v>15</v>
      </c>
      <c r="F146" s="1">
        <v>6</v>
      </c>
      <c r="G146" s="1">
        <v>2100</v>
      </c>
      <c r="H146" s="1">
        <v>1350</v>
      </c>
      <c r="I146" s="1">
        <v>0</v>
      </c>
      <c r="J146" s="8" t="str">
        <f>IF(OR(tblSalesClean[[#This Row],[Quantity]]="",tblSalesClean[[#This Row],[Discount_Pct]]=""),"Incomplete","Complete")</f>
        <v>Complete</v>
      </c>
      <c r="K146" s="30">
        <f>IF(OR(tblSalesClean[[#This Row],[Quantity]]="",tblSalesClean[[#This Row],[Unit_Price_ZAR]]=""),"",tblSalesClean[[#This Row],[Quantity]]*tblSalesClean[[#This Row],[Unit_Price_ZAR]])</f>
        <v>12600</v>
      </c>
      <c r="L146" s="30">
        <f>IF(OR(tblSalesClean[[#This Row],[Gross_Revenue_ZAR]]="",tblSalesClean[[#This Row],[Discount_Pct]]=""),"",tblSalesClean[[#This Row],[Gross_Revenue_ZAR]]*(1-tblSalesClean[[#This Row],[Discount_Pct]]))</f>
        <v>12600</v>
      </c>
      <c r="M146" s="30">
        <f>IF(OR(tblSalesClean[[#This Row],[Net_Revenue_ZAR]]="",tblSalesClean[[#This Row],[Quantity]]="",tblSalesClean[[#This Row],[Unit_Cost_ZAR]]=""),"",tblSalesClean[[#This Row],[Net_Revenue_ZAR]]-(tblSalesClean[[#This Row],[Quantity]]*tblSalesClean[[#This Row],[Unit_Cost_ZAR]]))</f>
        <v>4500</v>
      </c>
    </row>
    <row r="147" spans="1:13" ht="13.5" x14ac:dyDescent="0.25">
      <c r="A147" s="1" t="s">
        <v>172</v>
      </c>
      <c r="B147" s="3">
        <v>45851</v>
      </c>
      <c r="C147" s="1" t="s">
        <v>27</v>
      </c>
      <c r="D147" s="1" t="s">
        <v>18</v>
      </c>
      <c r="E147" s="1" t="s">
        <v>19</v>
      </c>
      <c r="F147" s="1">
        <v>3</v>
      </c>
      <c r="G147" s="1">
        <v>12500</v>
      </c>
      <c r="H147" s="1">
        <v>9400</v>
      </c>
      <c r="I147" s="1">
        <v>0.1</v>
      </c>
      <c r="J147" s="8" t="str">
        <f>IF(OR(tblSalesClean[[#This Row],[Quantity]]="",tblSalesClean[[#This Row],[Discount_Pct]]=""),"Incomplete","Complete")</f>
        <v>Complete</v>
      </c>
      <c r="K147" s="30">
        <f>IF(OR(tblSalesClean[[#This Row],[Quantity]]="",tblSalesClean[[#This Row],[Unit_Price_ZAR]]=""),"",tblSalesClean[[#This Row],[Quantity]]*tblSalesClean[[#This Row],[Unit_Price_ZAR]])</f>
        <v>37500</v>
      </c>
      <c r="L147" s="30">
        <f>IF(OR(tblSalesClean[[#This Row],[Gross_Revenue_ZAR]]="",tblSalesClean[[#This Row],[Discount_Pct]]=""),"",tblSalesClean[[#This Row],[Gross_Revenue_ZAR]]*(1-tblSalesClean[[#This Row],[Discount_Pct]]))</f>
        <v>33750</v>
      </c>
      <c r="M147" s="30">
        <f>IF(OR(tblSalesClean[[#This Row],[Net_Revenue_ZAR]]="",tblSalesClean[[#This Row],[Quantity]]="",tblSalesClean[[#This Row],[Unit_Cost_ZAR]]=""),"",tblSalesClean[[#This Row],[Net_Revenue_ZAR]]-(tblSalesClean[[#This Row],[Quantity]]*tblSalesClean[[#This Row],[Unit_Cost_ZAR]]))</f>
        <v>5550</v>
      </c>
    </row>
    <row r="148" spans="1:13" ht="13.5" x14ac:dyDescent="0.25">
      <c r="A148" s="1" t="s">
        <v>173</v>
      </c>
      <c r="B148" s="3">
        <v>46020</v>
      </c>
      <c r="C148" s="1" t="s">
        <v>17</v>
      </c>
      <c r="D148" s="1" t="s">
        <v>25</v>
      </c>
      <c r="E148" s="1" t="s">
        <v>19</v>
      </c>
      <c r="F148" s="1">
        <v>6</v>
      </c>
      <c r="G148" s="1">
        <v>3400</v>
      </c>
      <c r="H148" s="1">
        <v>2300</v>
      </c>
      <c r="I148" s="1">
        <v>0.05</v>
      </c>
      <c r="J148" s="8" t="str">
        <f>IF(OR(tblSalesClean[[#This Row],[Quantity]]="",tblSalesClean[[#This Row],[Discount_Pct]]=""),"Incomplete","Complete")</f>
        <v>Complete</v>
      </c>
      <c r="K148" s="30">
        <f>IF(OR(tblSalesClean[[#This Row],[Quantity]]="",tblSalesClean[[#This Row],[Unit_Price_ZAR]]=""),"",tblSalesClean[[#This Row],[Quantity]]*tblSalesClean[[#This Row],[Unit_Price_ZAR]])</f>
        <v>20400</v>
      </c>
      <c r="L148" s="30">
        <f>IF(OR(tblSalesClean[[#This Row],[Gross_Revenue_ZAR]]="",tblSalesClean[[#This Row],[Discount_Pct]]=""),"",tblSalesClean[[#This Row],[Gross_Revenue_ZAR]]*(1-tblSalesClean[[#This Row],[Discount_Pct]]))</f>
        <v>19380</v>
      </c>
      <c r="M148" s="30">
        <f>IF(OR(tblSalesClean[[#This Row],[Net_Revenue_ZAR]]="",tblSalesClean[[#This Row],[Quantity]]="",tblSalesClean[[#This Row],[Unit_Cost_ZAR]]=""),"",tblSalesClean[[#This Row],[Net_Revenue_ZAR]]-(tblSalesClean[[#This Row],[Quantity]]*tblSalesClean[[#This Row],[Unit_Cost_ZAR]]))</f>
        <v>5580</v>
      </c>
    </row>
    <row r="149" spans="1:13" ht="13.5" x14ac:dyDescent="0.25">
      <c r="A149" s="1" t="s">
        <v>174</v>
      </c>
      <c r="B149" s="3">
        <v>45658</v>
      </c>
      <c r="C149" s="1" t="s">
        <v>17</v>
      </c>
      <c r="D149" s="1" t="s">
        <v>44</v>
      </c>
      <c r="E149" s="1" t="s">
        <v>12</v>
      </c>
      <c r="F149" s="1">
        <v>6</v>
      </c>
      <c r="G149" s="1">
        <v>1100</v>
      </c>
      <c r="H149" s="1">
        <v>650</v>
      </c>
      <c r="J149" s="8" t="str">
        <f>IF(OR(tblSalesClean[[#This Row],[Quantity]]="",tblSalesClean[[#This Row],[Discount_Pct]]=""),"Incomplete","Complete")</f>
        <v>Incomplete</v>
      </c>
      <c r="K149" s="30">
        <f>IF(OR(tblSalesClean[[#This Row],[Quantity]]="",tblSalesClean[[#This Row],[Unit_Price_ZAR]]=""),"",tblSalesClean[[#This Row],[Quantity]]*tblSalesClean[[#This Row],[Unit_Price_ZAR]])</f>
        <v>6600</v>
      </c>
      <c r="L149" s="30" t="str">
        <f>IF(OR(tblSalesClean[[#This Row],[Gross_Revenue_ZAR]]="",tblSalesClean[[#This Row],[Discount_Pct]]=""),"",tblSalesClean[[#This Row],[Gross_Revenue_ZAR]]*(1-tblSalesClean[[#This Row],[Discount_Pct]]))</f>
        <v/>
      </c>
      <c r="M149" s="30" t="str">
        <f>IF(OR(tblSalesClean[[#This Row],[Net_Revenue_ZAR]]="",tblSalesClean[[#This Row],[Quantity]]="",tblSalesClean[[#This Row],[Unit_Cost_ZAR]]=""),"",tblSalesClean[[#This Row],[Net_Revenue_ZAR]]-(tblSalesClean[[#This Row],[Quantity]]*tblSalesClean[[#This Row],[Unit_Cost_ZAR]]))</f>
        <v/>
      </c>
    </row>
    <row r="150" spans="1:13" ht="13.5" x14ac:dyDescent="0.25">
      <c r="A150" s="1" t="s">
        <v>175</v>
      </c>
      <c r="B150" s="3">
        <v>45863</v>
      </c>
      <c r="C150" s="1" t="s">
        <v>21</v>
      </c>
      <c r="D150" s="1" t="s">
        <v>44</v>
      </c>
      <c r="E150" s="1" t="s">
        <v>12</v>
      </c>
      <c r="F150" s="1">
        <v>1</v>
      </c>
      <c r="G150" s="1">
        <v>1100</v>
      </c>
      <c r="H150" s="1">
        <v>650</v>
      </c>
      <c r="I150" s="1">
        <v>0</v>
      </c>
      <c r="J150" s="8" t="str">
        <f>IF(OR(tblSalesClean[[#This Row],[Quantity]]="",tblSalesClean[[#This Row],[Discount_Pct]]=""),"Incomplete","Complete")</f>
        <v>Complete</v>
      </c>
      <c r="K150" s="30">
        <f>IF(OR(tblSalesClean[[#This Row],[Quantity]]="",tblSalesClean[[#This Row],[Unit_Price_ZAR]]=""),"",tblSalesClean[[#This Row],[Quantity]]*tblSalesClean[[#This Row],[Unit_Price_ZAR]])</f>
        <v>1100</v>
      </c>
      <c r="L150" s="30">
        <f>IF(OR(tblSalesClean[[#This Row],[Gross_Revenue_ZAR]]="",tblSalesClean[[#This Row],[Discount_Pct]]=""),"",tblSalesClean[[#This Row],[Gross_Revenue_ZAR]]*(1-tblSalesClean[[#This Row],[Discount_Pct]]))</f>
        <v>1100</v>
      </c>
      <c r="M150" s="30">
        <f>IF(OR(tblSalesClean[[#This Row],[Net_Revenue_ZAR]]="",tblSalesClean[[#This Row],[Quantity]]="",tblSalesClean[[#This Row],[Unit_Cost_ZAR]]=""),"",tblSalesClean[[#This Row],[Net_Revenue_ZAR]]-(tblSalesClean[[#This Row],[Quantity]]*tblSalesClean[[#This Row],[Unit_Cost_ZAR]]))</f>
        <v>450</v>
      </c>
    </row>
    <row r="151" spans="1:13" ht="13.5" x14ac:dyDescent="0.25">
      <c r="A151" s="1" t="s">
        <v>176</v>
      </c>
      <c r="B151" s="3">
        <v>45691</v>
      </c>
      <c r="C151" s="1" t="s">
        <v>17</v>
      </c>
      <c r="D151" s="1" t="s">
        <v>14</v>
      </c>
      <c r="E151" s="1" t="s">
        <v>15</v>
      </c>
      <c r="F151" s="1">
        <v>1</v>
      </c>
      <c r="G151" s="1">
        <v>2100</v>
      </c>
      <c r="H151" s="1">
        <v>1350</v>
      </c>
      <c r="I151" s="1">
        <v>0</v>
      </c>
      <c r="J151" s="8" t="str">
        <f>IF(OR(tblSalesClean[[#This Row],[Quantity]]="",tblSalesClean[[#This Row],[Discount_Pct]]=""),"Incomplete","Complete")</f>
        <v>Complete</v>
      </c>
      <c r="K151" s="30">
        <f>IF(OR(tblSalesClean[[#This Row],[Quantity]]="",tblSalesClean[[#This Row],[Unit_Price_ZAR]]=""),"",tblSalesClean[[#This Row],[Quantity]]*tblSalesClean[[#This Row],[Unit_Price_ZAR]])</f>
        <v>2100</v>
      </c>
      <c r="L151" s="30">
        <f>IF(OR(tblSalesClean[[#This Row],[Gross_Revenue_ZAR]]="",tblSalesClean[[#This Row],[Discount_Pct]]=""),"",tblSalesClean[[#This Row],[Gross_Revenue_ZAR]]*(1-tblSalesClean[[#This Row],[Discount_Pct]]))</f>
        <v>2100</v>
      </c>
      <c r="M151" s="30">
        <f>IF(OR(tblSalesClean[[#This Row],[Net_Revenue_ZAR]]="",tblSalesClean[[#This Row],[Quantity]]="",tblSalesClean[[#This Row],[Unit_Cost_ZAR]]=""),"",tblSalesClean[[#This Row],[Net_Revenue_ZAR]]-(tblSalesClean[[#This Row],[Quantity]]*tblSalesClean[[#This Row],[Unit_Cost_ZAR]]))</f>
        <v>750</v>
      </c>
    </row>
    <row r="152" spans="1:13" ht="13.5" x14ac:dyDescent="0.25">
      <c r="A152" s="1" t="s">
        <v>177</v>
      </c>
      <c r="B152" s="3">
        <v>45985</v>
      </c>
      <c r="C152" s="1" t="s">
        <v>17</v>
      </c>
      <c r="D152" s="1" t="s">
        <v>28</v>
      </c>
      <c r="E152" s="1" t="s">
        <v>15</v>
      </c>
      <c r="F152" s="1">
        <v>2</v>
      </c>
      <c r="G152" s="1">
        <v>2800</v>
      </c>
      <c r="H152" s="1">
        <v>1900</v>
      </c>
      <c r="I152" s="1">
        <v>0.05</v>
      </c>
      <c r="J152" s="8" t="str">
        <f>IF(OR(tblSalesClean[[#This Row],[Quantity]]="",tblSalesClean[[#This Row],[Discount_Pct]]=""),"Incomplete","Complete")</f>
        <v>Complete</v>
      </c>
      <c r="K152" s="30">
        <f>IF(OR(tblSalesClean[[#This Row],[Quantity]]="",tblSalesClean[[#This Row],[Unit_Price_ZAR]]=""),"",tblSalesClean[[#This Row],[Quantity]]*tblSalesClean[[#This Row],[Unit_Price_ZAR]])</f>
        <v>5600</v>
      </c>
      <c r="L152" s="30">
        <f>IF(OR(tblSalesClean[[#This Row],[Gross_Revenue_ZAR]]="",tblSalesClean[[#This Row],[Discount_Pct]]=""),"",tblSalesClean[[#This Row],[Gross_Revenue_ZAR]]*(1-tblSalesClean[[#This Row],[Discount_Pct]]))</f>
        <v>5320</v>
      </c>
      <c r="M152" s="30">
        <f>IF(OR(tblSalesClean[[#This Row],[Net_Revenue_ZAR]]="",tblSalesClean[[#This Row],[Quantity]]="",tblSalesClean[[#This Row],[Unit_Cost_ZAR]]=""),"",tblSalesClean[[#This Row],[Net_Revenue_ZAR]]-(tblSalesClean[[#This Row],[Quantity]]*tblSalesClean[[#This Row],[Unit_Cost_ZAR]]))</f>
        <v>1520</v>
      </c>
    </row>
    <row r="153" spans="1:13" ht="13.5" x14ac:dyDescent="0.25">
      <c r="A153" s="1" t="s">
        <v>178</v>
      </c>
      <c r="B153" s="3">
        <v>45886</v>
      </c>
      <c r="C153" s="1" t="s">
        <v>10</v>
      </c>
      <c r="D153" s="1" t="s">
        <v>63</v>
      </c>
      <c r="E153" s="1" t="s">
        <v>12</v>
      </c>
      <c r="F153" s="1">
        <v>5</v>
      </c>
      <c r="G153" s="1">
        <v>520</v>
      </c>
      <c r="H153" s="1">
        <v>290</v>
      </c>
      <c r="I153" s="1">
        <v>0</v>
      </c>
      <c r="J153" s="8" t="str">
        <f>IF(OR(tblSalesClean[[#This Row],[Quantity]]="",tblSalesClean[[#This Row],[Discount_Pct]]=""),"Incomplete","Complete")</f>
        <v>Complete</v>
      </c>
      <c r="K153" s="30">
        <f>IF(OR(tblSalesClean[[#This Row],[Quantity]]="",tblSalesClean[[#This Row],[Unit_Price_ZAR]]=""),"",tblSalesClean[[#This Row],[Quantity]]*tblSalesClean[[#This Row],[Unit_Price_ZAR]])</f>
        <v>2600</v>
      </c>
      <c r="L153" s="30">
        <f>IF(OR(tblSalesClean[[#This Row],[Gross_Revenue_ZAR]]="",tblSalesClean[[#This Row],[Discount_Pct]]=""),"",tblSalesClean[[#This Row],[Gross_Revenue_ZAR]]*(1-tblSalesClean[[#This Row],[Discount_Pct]]))</f>
        <v>2600</v>
      </c>
      <c r="M153" s="30">
        <f>IF(OR(tblSalesClean[[#This Row],[Net_Revenue_ZAR]]="",tblSalesClean[[#This Row],[Quantity]]="",tblSalesClean[[#This Row],[Unit_Cost_ZAR]]=""),"",tblSalesClean[[#This Row],[Net_Revenue_ZAR]]-(tblSalesClean[[#This Row],[Quantity]]*tblSalesClean[[#This Row],[Unit_Cost_ZAR]]))</f>
        <v>1150</v>
      </c>
    </row>
    <row r="154" spans="1:13" ht="13.5" x14ac:dyDescent="0.25">
      <c r="A154" s="1" t="s">
        <v>179</v>
      </c>
      <c r="B154" s="3">
        <v>45774</v>
      </c>
      <c r="C154" s="1" t="s">
        <v>10</v>
      </c>
      <c r="D154" s="1" t="s">
        <v>14</v>
      </c>
      <c r="E154" s="1" t="s">
        <v>15</v>
      </c>
      <c r="F154" s="1">
        <v>2</v>
      </c>
      <c r="G154" s="1">
        <v>2100</v>
      </c>
      <c r="H154" s="1">
        <v>1350</v>
      </c>
      <c r="I154" s="1">
        <v>0.05</v>
      </c>
      <c r="J154" s="8" t="str">
        <f>IF(OR(tblSalesClean[[#This Row],[Quantity]]="",tblSalesClean[[#This Row],[Discount_Pct]]=""),"Incomplete","Complete")</f>
        <v>Complete</v>
      </c>
      <c r="K154" s="30">
        <f>IF(OR(tblSalesClean[[#This Row],[Quantity]]="",tblSalesClean[[#This Row],[Unit_Price_ZAR]]=""),"",tblSalesClean[[#This Row],[Quantity]]*tblSalesClean[[#This Row],[Unit_Price_ZAR]])</f>
        <v>4200</v>
      </c>
      <c r="L154" s="30">
        <f>IF(OR(tblSalesClean[[#This Row],[Gross_Revenue_ZAR]]="",tblSalesClean[[#This Row],[Discount_Pct]]=""),"",tblSalesClean[[#This Row],[Gross_Revenue_ZAR]]*(1-tblSalesClean[[#This Row],[Discount_Pct]]))</f>
        <v>3990</v>
      </c>
      <c r="M154" s="30">
        <f>IF(OR(tblSalesClean[[#This Row],[Net_Revenue_ZAR]]="",tblSalesClean[[#This Row],[Quantity]]="",tblSalesClean[[#This Row],[Unit_Cost_ZAR]]=""),"",tblSalesClean[[#This Row],[Net_Revenue_ZAR]]-(tblSalesClean[[#This Row],[Quantity]]*tblSalesClean[[#This Row],[Unit_Cost_ZAR]]))</f>
        <v>1290</v>
      </c>
    </row>
    <row r="155" spans="1:13" ht="13.5" x14ac:dyDescent="0.25">
      <c r="A155" s="1" t="s">
        <v>180</v>
      </c>
      <c r="B155" s="3">
        <v>45910</v>
      </c>
      <c r="C155" s="1" t="s">
        <v>10</v>
      </c>
      <c r="D155" s="1" t="s">
        <v>54</v>
      </c>
      <c r="E155" s="1" t="s">
        <v>15</v>
      </c>
      <c r="F155" s="1">
        <v>4</v>
      </c>
      <c r="G155" s="1">
        <v>3900</v>
      </c>
      <c r="H155" s="1">
        <v>2700</v>
      </c>
      <c r="I155" s="1">
        <v>0</v>
      </c>
      <c r="J155" s="8" t="str">
        <f>IF(OR(tblSalesClean[[#This Row],[Quantity]]="",tblSalesClean[[#This Row],[Discount_Pct]]=""),"Incomplete","Complete")</f>
        <v>Complete</v>
      </c>
      <c r="K155" s="30">
        <f>IF(OR(tblSalesClean[[#This Row],[Quantity]]="",tblSalesClean[[#This Row],[Unit_Price_ZAR]]=""),"",tblSalesClean[[#This Row],[Quantity]]*tblSalesClean[[#This Row],[Unit_Price_ZAR]])</f>
        <v>15600</v>
      </c>
      <c r="L155" s="30">
        <f>IF(OR(tblSalesClean[[#This Row],[Gross_Revenue_ZAR]]="",tblSalesClean[[#This Row],[Discount_Pct]]=""),"",tblSalesClean[[#This Row],[Gross_Revenue_ZAR]]*(1-tblSalesClean[[#This Row],[Discount_Pct]]))</f>
        <v>15600</v>
      </c>
      <c r="M155" s="30">
        <f>IF(OR(tblSalesClean[[#This Row],[Net_Revenue_ZAR]]="",tblSalesClean[[#This Row],[Quantity]]="",tblSalesClean[[#This Row],[Unit_Cost_ZAR]]=""),"",tblSalesClean[[#This Row],[Net_Revenue_ZAR]]-(tblSalesClean[[#This Row],[Quantity]]*tblSalesClean[[#This Row],[Unit_Cost_ZAR]]))</f>
        <v>4800</v>
      </c>
    </row>
    <row r="156" spans="1:13" ht="13.5" x14ac:dyDescent="0.25">
      <c r="A156" s="1" t="s">
        <v>181</v>
      </c>
      <c r="B156" s="3">
        <v>45735</v>
      </c>
      <c r="C156" s="1" t="s">
        <v>27</v>
      </c>
      <c r="D156" s="1" t="s">
        <v>44</v>
      </c>
      <c r="E156" s="1" t="s">
        <v>12</v>
      </c>
      <c r="F156" s="1">
        <v>6</v>
      </c>
      <c r="G156" s="1">
        <v>1100</v>
      </c>
      <c r="H156" s="1">
        <v>650</v>
      </c>
      <c r="I156" s="1">
        <v>0.1</v>
      </c>
      <c r="J156" s="8" t="str">
        <f>IF(OR(tblSalesClean[[#This Row],[Quantity]]="",tblSalesClean[[#This Row],[Discount_Pct]]=""),"Incomplete","Complete")</f>
        <v>Complete</v>
      </c>
      <c r="K156" s="30">
        <f>IF(OR(tblSalesClean[[#This Row],[Quantity]]="",tblSalesClean[[#This Row],[Unit_Price_ZAR]]=""),"",tblSalesClean[[#This Row],[Quantity]]*tblSalesClean[[#This Row],[Unit_Price_ZAR]])</f>
        <v>6600</v>
      </c>
      <c r="L156" s="30">
        <f>IF(OR(tblSalesClean[[#This Row],[Gross_Revenue_ZAR]]="",tblSalesClean[[#This Row],[Discount_Pct]]=""),"",tblSalesClean[[#This Row],[Gross_Revenue_ZAR]]*(1-tblSalesClean[[#This Row],[Discount_Pct]]))</f>
        <v>5940</v>
      </c>
      <c r="M156" s="30">
        <f>IF(OR(tblSalesClean[[#This Row],[Net_Revenue_ZAR]]="",tblSalesClean[[#This Row],[Quantity]]="",tblSalesClean[[#This Row],[Unit_Cost_ZAR]]=""),"",tblSalesClean[[#This Row],[Net_Revenue_ZAR]]-(tblSalesClean[[#This Row],[Quantity]]*tblSalesClean[[#This Row],[Unit_Cost_ZAR]]))</f>
        <v>2040</v>
      </c>
    </row>
    <row r="157" spans="1:13" ht="13.5" x14ac:dyDescent="0.25">
      <c r="A157" s="1" t="s">
        <v>182</v>
      </c>
      <c r="B157" s="3">
        <v>45958</v>
      </c>
      <c r="C157" s="1" t="s">
        <v>27</v>
      </c>
      <c r="D157" s="1" t="s">
        <v>28</v>
      </c>
      <c r="E157" s="1" t="s">
        <v>15</v>
      </c>
      <c r="F157" s="1">
        <v>1</v>
      </c>
      <c r="G157" s="1">
        <v>2800</v>
      </c>
      <c r="H157" s="1">
        <v>1900</v>
      </c>
      <c r="I157" s="1">
        <v>0.05</v>
      </c>
      <c r="J157" s="8" t="str">
        <f>IF(OR(tblSalesClean[[#This Row],[Quantity]]="",tblSalesClean[[#This Row],[Discount_Pct]]=""),"Incomplete","Complete")</f>
        <v>Complete</v>
      </c>
      <c r="K157" s="30">
        <f>IF(OR(tblSalesClean[[#This Row],[Quantity]]="",tblSalesClean[[#This Row],[Unit_Price_ZAR]]=""),"",tblSalesClean[[#This Row],[Quantity]]*tblSalesClean[[#This Row],[Unit_Price_ZAR]])</f>
        <v>2800</v>
      </c>
      <c r="L157" s="30">
        <f>IF(OR(tblSalesClean[[#This Row],[Gross_Revenue_ZAR]]="",tblSalesClean[[#This Row],[Discount_Pct]]=""),"",tblSalesClean[[#This Row],[Gross_Revenue_ZAR]]*(1-tblSalesClean[[#This Row],[Discount_Pct]]))</f>
        <v>2660</v>
      </c>
      <c r="M157" s="30">
        <f>IF(OR(tblSalesClean[[#This Row],[Net_Revenue_ZAR]]="",tblSalesClean[[#This Row],[Quantity]]="",tblSalesClean[[#This Row],[Unit_Cost_ZAR]]=""),"",tblSalesClean[[#This Row],[Net_Revenue_ZAR]]-(tblSalesClean[[#This Row],[Quantity]]*tblSalesClean[[#This Row],[Unit_Cost_ZAR]]))</f>
        <v>760</v>
      </c>
    </row>
    <row r="158" spans="1:13" ht="13.5" x14ac:dyDescent="0.25">
      <c r="A158" s="1" t="s">
        <v>183</v>
      </c>
      <c r="B158" s="3">
        <v>45672</v>
      </c>
      <c r="C158" s="1" t="s">
        <v>27</v>
      </c>
      <c r="D158" s="1" t="s">
        <v>54</v>
      </c>
      <c r="E158" s="1" t="s">
        <v>15</v>
      </c>
      <c r="F158" s="1">
        <v>2</v>
      </c>
      <c r="G158" s="1">
        <v>3900</v>
      </c>
      <c r="H158" s="1">
        <v>2700</v>
      </c>
      <c r="I158" s="1">
        <v>0.15</v>
      </c>
      <c r="J158" s="8" t="str">
        <f>IF(OR(tblSalesClean[[#This Row],[Quantity]]="",tblSalesClean[[#This Row],[Discount_Pct]]=""),"Incomplete","Complete")</f>
        <v>Complete</v>
      </c>
      <c r="K158" s="30">
        <f>IF(OR(tblSalesClean[[#This Row],[Quantity]]="",tblSalesClean[[#This Row],[Unit_Price_ZAR]]=""),"",tblSalesClean[[#This Row],[Quantity]]*tblSalesClean[[#This Row],[Unit_Price_ZAR]])</f>
        <v>7800</v>
      </c>
      <c r="L158" s="30">
        <f>IF(OR(tblSalesClean[[#This Row],[Gross_Revenue_ZAR]]="",tblSalesClean[[#This Row],[Discount_Pct]]=""),"",tblSalesClean[[#This Row],[Gross_Revenue_ZAR]]*(1-tblSalesClean[[#This Row],[Discount_Pct]]))</f>
        <v>6630</v>
      </c>
      <c r="M158" s="30">
        <f>IF(OR(tblSalesClean[[#This Row],[Net_Revenue_ZAR]]="",tblSalesClean[[#This Row],[Quantity]]="",tblSalesClean[[#This Row],[Unit_Cost_ZAR]]=""),"",tblSalesClean[[#This Row],[Net_Revenue_ZAR]]-(tblSalesClean[[#This Row],[Quantity]]*tblSalesClean[[#This Row],[Unit_Cost_ZAR]]))</f>
        <v>1230</v>
      </c>
    </row>
    <row r="159" spans="1:13" ht="13.5" x14ac:dyDescent="0.25">
      <c r="A159" s="1" t="s">
        <v>184</v>
      </c>
      <c r="B159" s="3">
        <v>45703</v>
      </c>
      <c r="C159" s="1" t="s">
        <v>10</v>
      </c>
      <c r="D159" s="1" t="s">
        <v>54</v>
      </c>
      <c r="E159" s="1" t="s">
        <v>15</v>
      </c>
      <c r="F159" s="1">
        <v>1</v>
      </c>
      <c r="G159" s="1">
        <v>3900</v>
      </c>
      <c r="H159" s="1">
        <v>2700</v>
      </c>
      <c r="I159" s="1">
        <v>0.15</v>
      </c>
      <c r="J159" s="8" t="str">
        <f>IF(OR(tblSalesClean[[#This Row],[Quantity]]="",tblSalesClean[[#This Row],[Discount_Pct]]=""),"Incomplete","Complete")</f>
        <v>Complete</v>
      </c>
      <c r="K159" s="30">
        <f>IF(OR(tblSalesClean[[#This Row],[Quantity]]="",tblSalesClean[[#This Row],[Unit_Price_ZAR]]=""),"",tblSalesClean[[#This Row],[Quantity]]*tblSalesClean[[#This Row],[Unit_Price_ZAR]])</f>
        <v>3900</v>
      </c>
      <c r="L159" s="30">
        <f>IF(OR(tblSalesClean[[#This Row],[Gross_Revenue_ZAR]]="",tblSalesClean[[#This Row],[Discount_Pct]]=""),"",tblSalesClean[[#This Row],[Gross_Revenue_ZAR]]*(1-tblSalesClean[[#This Row],[Discount_Pct]]))</f>
        <v>3315</v>
      </c>
      <c r="M159" s="30">
        <f>IF(OR(tblSalesClean[[#This Row],[Net_Revenue_ZAR]]="",tblSalesClean[[#This Row],[Quantity]]="",tblSalesClean[[#This Row],[Unit_Cost_ZAR]]=""),"",tblSalesClean[[#This Row],[Net_Revenue_ZAR]]-(tblSalesClean[[#This Row],[Quantity]]*tblSalesClean[[#This Row],[Unit_Cost_ZAR]]))</f>
        <v>615</v>
      </c>
    </row>
    <row r="160" spans="1:13" ht="13.5" x14ac:dyDescent="0.25">
      <c r="A160" s="1" t="s">
        <v>185</v>
      </c>
      <c r="B160" s="3">
        <v>45959</v>
      </c>
      <c r="C160" s="1" t="s">
        <v>27</v>
      </c>
      <c r="D160" s="1" t="s">
        <v>18</v>
      </c>
      <c r="E160" s="1" t="s">
        <v>19</v>
      </c>
      <c r="F160" s="1">
        <v>2</v>
      </c>
      <c r="G160" s="1">
        <v>12500</v>
      </c>
      <c r="H160" s="1">
        <v>9400</v>
      </c>
      <c r="I160" s="1">
        <v>0.05</v>
      </c>
      <c r="J160" s="8" t="str">
        <f>IF(OR(tblSalesClean[[#This Row],[Quantity]]="",tblSalesClean[[#This Row],[Discount_Pct]]=""),"Incomplete","Complete")</f>
        <v>Complete</v>
      </c>
      <c r="K160" s="30">
        <f>IF(OR(tblSalesClean[[#This Row],[Quantity]]="",tblSalesClean[[#This Row],[Unit_Price_ZAR]]=""),"",tblSalesClean[[#This Row],[Quantity]]*tblSalesClean[[#This Row],[Unit_Price_ZAR]])</f>
        <v>25000</v>
      </c>
      <c r="L160" s="30">
        <f>IF(OR(tblSalesClean[[#This Row],[Gross_Revenue_ZAR]]="",tblSalesClean[[#This Row],[Discount_Pct]]=""),"",tblSalesClean[[#This Row],[Gross_Revenue_ZAR]]*(1-tblSalesClean[[#This Row],[Discount_Pct]]))</f>
        <v>23750</v>
      </c>
      <c r="M160" s="30">
        <f>IF(OR(tblSalesClean[[#This Row],[Net_Revenue_ZAR]]="",tblSalesClean[[#This Row],[Quantity]]="",tblSalesClean[[#This Row],[Unit_Cost_ZAR]]=""),"",tblSalesClean[[#This Row],[Net_Revenue_ZAR]]-(tblSalesClean[[#This Row],[Quantity]]*tblSalesClean[[#This Row],[Unit_Cost_ZAR]]))</f>
        <v>4950</v>
      </c>
    </row>
    <row r="161" spans="1:13" ht="13.5" x14ac:dyDescent="0.25">
      <c r="A161" s="1" t="s">
        <v>186</v>
      </c>
      <c r="B161" s="3">
        <v>45957</v>
      </c>
      <c r="C161" s="1" t="s">
        <v>17</v>
      </c>
      <c r="D161" s="1" t="s">
        <v>54</v>
      </c>
      <c r="E161" s="1" t="s">
        <v>15</v>
      </c>
      <c r="F161" s="1">
        <v>3</v>
      </c>
      <c r="G161" s="1">
        <v>3900</v>
      </c>
      <c r="H161" s="1">
        <v>2700</v>
      </c>
      <c r="I161" s="1">
        <v>0.1</v>
      </c>
      <c r="J161" s="8" t="str">
        <f>IF(OR(tblSalesClean[[#This Row],[Quantity]]="",tblSalesClean[[#This Row],[Discount_Pct]]=""),"Incomplete","Complete")</f>
        <v>Complete</v>
      </c>
      <c r="K161" s="30">
        <f>IF(OR(tblSalesClean[[#This Row],[Quantity]]="",tblSalesClean[[#This Row],[Unit_Price_ZAR]]=""),"",tblSalesClean[[#This Row],[Quantity]]*tblSalesClean[[#This Row],[Unit_Price_ZAR]])</f>
        <v>11700</v>
      </c>
      <c r="L161" s="30">
        <f>IF(OR(tblSalesClean[[#This Row],[Gross_Revenue_ZAR]]="",tblSalesClean[[#This Row],[Discount_Pct]]=""),"",tblSalesClean[[#This Row],[Gross_Revenue_ZAR]]*(1-tblSalesClean[[#This Row],[Discount_Pct]]))</f>
        <v>10530</v>
      </c>
      <c r="M161" s="30">
        <f>IF(OR(tblSalesClean[[#This Row],[Net_Revenue_ZAR]]="",tblSalesClean[[#This Row],[Quantity]]="",tblSalesClean[[#This Row],[Unit_Cost_ZAR]]=""),"",tblSalesClean[[#This Row],[Net_Revenue_ZAR]]-(tblSalesClean[[#This Row],[Quantity]]*tblSalesClean[[#This Row],[Unit_Cost_ZAR]]))</f>
        <v>2430</v>
      </c>
    </row>
    <row r="162" spans="1:13" ht="13.5" x14ac:dyDescent="0.25">
      <c r="A162" s="1" t="s">
        <v>187</v>
      </c>
      <c r="B162" s="3">
        <v>45898</v>
      </c>
      <c r="C162" s="1" t="s">
        <v>27</v>
      </c>
      <c r="D162" s="1" t="s">
        <v>22</v>
      </c>
      <c r="E162" s="1" t="s">
        <v>19</v>
      </c>
      <c r="F162" s="1">
        <v>5</v>
      </c>
      <c r="G162" s="1">
        <v>650</v>
      </c>
      <c r="H162" s="1">
        <v>340</v>
      </c>
      <c r="I162" s="1">
        <v>0.05</v>
      </c>
      <c r="J162" s="8" t="str">
        <f>IF(OR(tblSalesClean[[#This Row],[Quantity]]="",tblSalesClean[[#This Row],[Discount_Pct]]=""),"Incomplete","Complete")</f>
        <v>Complete</v>
      </c>
      <c r="K162" s="30">
        <f>IF(OR(tblSalesClean[[#This Row],[Quantity]]="",tblSalesClean[[#This Row],[Unit_Price_ZAR]]=""),"",tblSalesClean[[#This Row],[Quantity]]*tblSalesClean[[#This Row],[Unit_Price_ZAR]])</f>
        <v>3250</v>
      </c>
      <c r="L162" s="30">
        <f>IF(OR(tblSalesClean[[#This Row],[Gross_Revenue_ZAR]]="",tblSalesClean[[#This Row],[Discount_Pct]]=""),"",tblSalesClean[[#This Row],[Gross_Revenue_ZAR]]*(1-tblSalesClean[[#This Row],[Discount_Pct]]))</f>
        <v>3087.5</v>
      </c>
      <c r="M162" s="30">
        <f>IF(OR(tblSalesClean[[#This Row],[Net_Revenue_ZAR]]="",tblSalesClean[[#This Row],[Quantity]]="",tblSalesClean[[#This Row],[Unit_Cost_ZAR]]=""),"",tblSalesClean[[#This Row],[Net_Revenue_ZAR]]-(tblSalesClean[[#This Row],[Quantity]]*tblSalesClean[[#This Row],[Unit_Cost_ZAR]]))</f>
        <v>1387.5</v>
      </c>
    </row>
    <row r="163" spans="1:13" ht="13.5" x14ac:dyDescent="0.25">
      <c r="A163" s="1" t="s">
        <v>188</v>
      </c>
      <c r="B163" s="3">
        <v>46018</v>
      </c>
      <c r="C163" s="1" t="s">
        <v>10</v>
      </c>
      <c r="D163" s="1" t="s">
        <v>11</v>
      </c>
      <c r="E163" s="1" t="s">
        <v>12</v>
      </c>
      <c r="F163" s="1">
        <v>1</v>
      </c>
      <c r="G163" s="1">
        <v>1850</v>
      </c>
      <c r="H163" s="1">
        <v>1200</v>
      </c>
      <c r="I163" s="1">
        <v>0</v>
      </c>
      <c r="J163" s="8" t="str">
        <f>IF(OR(tblSalesClean[[#This Row],[Quantity]]="",tblSalesClean[[#This Row],[Discount_Pct]]=""),"Incomplete","Complete")</f>
        <v>Complete</v>
      </c>
      <c r="K163" s="30">
        <f>IF(OR(tblSalesClean[[#This Row],[Quantity]]="",tblSalesClean[[#This Row],[Unit_Price_ZAR]]=""),"",tblSalesClean[[#This Row],[Quantity]]*tblSalesClean[[#This Row],[Unit_Price_ZAR]])</f>
        <v>1850</v>
      </c>
      <c r="L163" s="30">
        <f>IF(OR(tblSalesClean[[#This Row],[Gross_Revenue_ZAR]]="",tblSalesClean[[#This Row],[Discount_Pct]]=""),"",tblSalesClean[[#This Row],[Gross_Revenue_ZAR]]*(1-tblSalesClean[[#This Row],[Discount_Pct]]))</f>
        <v>1850</v>
      </c>
      <c r="M163" s="30">
        <f>IF(OR(tblSalesClean[[#This Row],[Net_Revenue_ZAR]]="",tblSalesClean[[#This Row],[Quantity]]="",tblSalesClean[[#This Row],[Unit_Cost_ZAR]]=""),"",tblSalesClean[[#This Row],[Net_Revenue_ZAR]]-(tblSalesClean[[#This Row],[Quantity]]*tblSalesClean[[#This Row],[Unit_Cost_ZAR]]))</f>
        <v>650</v>
      </c>
    </row>
    <row r="164" spans="1:13" ht="13.5" x14ac:dyDescent="0.25">
      <c r="A164" s="1" t="s">
        <v>189</v>
      </c>
      <c r="B164" s="3">
        <v>45797</v>
      </c>
      <c r="C164" s="1" t="s">
        <v>27</v>
      </c>
      <c r="D164" s="1" t="s">
        <v>11</v>
      </c>
      <c r="E164" s="1" t="s">
        <v>12</v>
      </c>
      <c r="F164" s="1">
        <v>1</v>
      </c>
      <c r="G164" s="1">
        <v>1850</v>
      </c>
      <c r="H164" s="1">
        <v>1200</v>
      </c>
      <c r="I164" s="1">
        <v>0</v>
      </c>
      <c r="J164" s="8" t="str">
        <f>IF(OR(tblSalesClean[[#This Row],[Quantity]]="",tblSalesClean[[#This Row],[Discount_Pct]]=""),"Incomplete","Complete")</f>
        <v>Complete</v>
      </c>
      <c r="K164" s="30">
        <f>IF(OR(tblSalesClean[[#This Row],[Quantity]]="",tblSalesClean[[#This Row],[Unit_Price_ZAR]]=""),"",tblSalesClean[[#This Row],[Quantity]]*tblSalesClean[[#This Row],[Unit_Price_ZAR]])</f>
        <v>1850</v>
      </c>
      <c r="L164" s="30">
        <f>IF(OR(tblSalesClean[[#This Row],[Gross_Revenue_ZAR]]="",tblSalesClean[[#This Row],[Discount_Pct]]=""),"",tblSalesClean[[#This Row],[Gross_Revenue_ZAR]]*(1-tblSalesClean[[#This Row],[Discount_Pct]]))</f>
        <v>1850</v>
      </c>
      <c r="M164" s="30">
        <f>IF(OR(tblSalesClean[[#This Row],[Net_Revenue_ZAR]]="",tblSalesClean[[#This Row],[Quantity]]="",tblSalesClean[[#This Row],[Unit_Cost_ZAR]]=""),"",tblSalesClean[[#This Row],[Net_Revenue_ZAR]]-(tblSalesClean[[#This Row],[Quantity]]*tblSalesClean[[#This Row],[Unit_Cost_ZAR]]))</f>
        <v>650</v>
      </c>
    </row>
    <row r="165" spans="1:13" ht="13.5" x14ac:dyDescent="0.25">
      <c r="A165" s="1" t="s">
        <v>190</v>
      </c>
      <c r="B165" s="3">
        <v>45879</v>
      </c>
      <c r="C165" s="1" t="s">
        <v>10</v>
      </c>
      <c r="D165" s="1" t="s">
        <v>28</v>
      </c>
      <c r="E165" s="1" t="s">
        <v>15</v>
      </c>
      <c r="F165" s="1">
        <v>6</v>
      </c>
      <c r="G165" s="1">
        <v>2800</v>
      </c>
      <c r="H165" s="1">
        <v>1900</v>
      </c>
      <c r="I165" s="1">
        <v>0</v>
      </c>
      <c r="J165" s="8" t="str">
        <f>IF(OR(tblSalesClean[[#This Row],[Quantity]]="",tblSalesClean[[#This Row],[Discount_Pct]]=""),"Incomplete","Complete")</f>
        <v>Complete</v>
      </c>
      <c r="K165" s="30">
        <f>IF(OR(tblSalesClean[[#This Row],[Quantity]]="",tblSalesClean[[#This Row],[Unit_Price_ZAR]]=""),"",tblSalesClean[[#This Row],[Quantity]]*tblSalesClean[[#This Row],[Unit_Price_ZAR]])</f>
        <v>16800</v>
      </c>
      <c r="L165" s="30">
        <f>IF(OR(tblSalesClean[[#This Row],[Gross_Revenue_ZAR]]="",tblSalesClean[[#This Row],[Discount_Pct]]=""),"",tblSalesClean[[#This Row],[Gross_Revenue_ZAR]]*(1-tblSalesClean[[#This Row],[Discount_Pct]]))</f>
        <v>16800</v>
      </c>
      <c r="M165" s="30">
        <f>IF(OR(tblSalesClean[[#This Row],[Net_Revenue_ZAR]]="",tblSalesClean[[#This Row],[Quantity]]="",tblSalesClean[[#This Row],[Unit_Cost_ZAR]]=""),"",tblSalesClean[[#This Row],[Net_Revenue_ZAR]]-(tblSalesClean[[#This Row],[Quantity]]*tblSalesClean[[#This Row],[Unit_Cost_ZAR]]))</f>
        <v>5400</v>
      </c>
    </row>
    <row r="166" spans="1:13" ht="13.5" x14ac:dyDescent="0.25">
      <c r="A166" s="1" t="s">
        <v>191</v>
      </c>
      <c r="B166" s="3">
        <v>45850</v>
      </c>
      <c r="C166" s="1" t="s">
        <v>10</v>
      </c>
      <c r="D166" s="1" t="s">
        <v>44</v>
      </c>
      <c r="E166" s="1" t="s">
        <v>12</v>
      </c>
      <c r="F166" s="1">
        <v>2</v>
      </c>
      <c r="G166" s="1">
        <v>1100</v>
      </c>
      <c r="H166" s="1">
        <v>650</v>
      </c>
      <c r="I166" s="1">
        <v>0.1</v>
      </c>
      <c r="J166" s="8" t="str">
        <f>IF(OR(tblSalesClean[[#This Row],[Quantity]]="",tblSalesClean[[#This Row],[Discount_Pct]]=""),"Incomplete","Complete")</f>
        <v>Complete</v>
      </c>
      <c r="K166" s="30">
        <f>IF(OR(tblSalesClean[[#This Row],[Quantity]]="",tblSalesClean[[#This Row],[Unit_Price_ZAR]]=""),"",tblSalesClean[[#This Row],[Quantity]]*tblSalesClean[[#This Row],[Unit_Price_ZAR]])</f>
        <v>2200</v>
      </c>
      <c r="L166" s="30">
        <f>IF(OR(tblSalesClean[[#This Row],[Gross_Revenue_ZAR]]="",tblSalesClean[[#This Row],[Discount_Pct]]=""),"",tblSalesClean[[#This Row],[Gross_Revenue_ZAR]]*(1-tblSalesClean[[#This Row],[Discount_Pct]]))</f>
        <v>1980</v>
      </c>
      <c r="M166" s="30">
        <f>IF(OR(tblSalesClean[[#This Row],[Net_Revenue_ZAR]]="",tblSalesClean[[#This Row],[Quantity]]="",tblSalesClean[[#This Row],[Unit_Cost_ZAR]]=""),"",tblSalesClean[[#This Row],[Net_Revenue_ZAR]]-(tblSalesClean[[#This Row],[Quantity]]*tblSalesClean[[#This Row],[Unit_Cost_ZAR]]))</f>
        <v>680</v>
      </c>
    </row>
    <row r="167" spans="1:13" ht="13.5" x14ac:dyDescent="0.25">
      <c r="A167" s="1" t="s">
        <v>192</v>
      </c>
      <c r="B167" s="3">
        <v>45852</v>
      </c>
      <c r="C167" s="1" t="s">
        <v>17</v>
      </c>
      <c r="D167" s="1" t="s">
        <v>18</v>
      </c>
      <c r="E167" s="1" t="s">
        <v>19</v>
      </c>
      <c r="F167" s="1">
        <v>5</v>
      </c>
      <c r="G167" s="1">
        <v>12500</v>
      </c>
      <c r="H167" s="1">
        <v>9400</v>
      </c>
      <c r="I167" s="1">
        <v>0.1</v>
      </c>
      <c r="J167" s="8" t="str">
        <f>IF(OR(tblSalesClean[[#This Row],[Quantity]]="",tblSalesClean[[#This Row],[Discount_Pct]]=""),"Incomplete","Complete")</f>
        <v>Complete</v>
      </c>
      <c r="K167" s="30">
        <f>IF(OR(tblSalesClean[[#This Row],[Quantity]]="",tblSalesClean[[#This Row],[Unit_Price_ZAR]]=""),"",tblSalesClean[[#This Row],[Quantity]]*tblSalesClean[[#This Row],[Unit_Price_ZAR]])</f>
        <v>62500</v>
      </c>
      <c r="L167" s="30">
        <f>IF(OR(tblSalesClean[[#This Row],[Gross_Revenue_ZAR]]="",tblSalesClean[[#This Row],[Discount_Pct]]=""),"",tblSalesClean[[#This Row],[Gross_Revenue_ZAR]]*(1-tblSalesClean[[#This Row],[Discount_Pct]]))</f>
        <v>56250</v>
      </c>
      <c r="M167" s="30">
        <f>IF(OR(tblSalesClean[[#This Row],[Net_Revenue_ZAR]]="",tblSalesClean[[#This Row],[Quantity]]="",tblSalesClean[[#This Row],[Unit_Cost_ZAR]]=""),"",tblSalesClean[[#This Row],[Net_Revenue_ZAR]]-(tblSalesClean[[#This Row],[Quantity]]*tblSalesClean[[#This Row],[Unit_Cost_ZAR]]))</f>
        <v>9250</v>
      </c>
    </row>
    <row r="168" spans="1:13" ht="13.5" x14ac:dyDescent="0.25">
      <c r="A168" s="1" t="s">
        <v>193</v>
      </c>
      <c r="B168" s="3">
        <v>45697</v>
      </c>
      <c r="C168" s="1" t="s">
        <v>10</v>
      </c>
      <c r="D168" s="1" t="s">
        <v>54</v>
      </c>
      <c r="E168" s="1" t="s">
        <v>15</v>
      </c>
      <c r="F168" s="1">
        <v>2</v>
      </c>
      <c r="G168" s="1">
        <v>3900</v>
      </c>
      <c r="H168" s="1">
        <v>2700</v>
      </c>
      <c r="I168" s="1">
        <v>0.1</v>
      </c>
      <c r="J168" s="8" t="str">
        <f>IF(OR(tblSalesClean[[#This Row],[Quantity]]="",tblSalesClean[[#This Row],[Discount_Pct]]=""),"Incomplete","Complete")</f>
        <v>Complete</v>
      </c>
      <c r="K168" s="30">
        <f>IF(OR(tblSalesClean[[#This Row],[Quantity]]="",tblSalesClean[[#This Row],[Unit_Price_ZAR]]=""),"",tblSalesClean[[#This Row],[Quantity]]*tblSalesClean[[#This Row],[Unit_Price_ZAR]])</f>
        <v>7800</v>
      </c>
      <c r="L168" s="30">
        <f>IF(OR(tblSalesClean[[#This Row],[Gross_Revenue_ZAR]]="",tblSalesClean[[#This Row],[Discount_Pct]]=""),"",tblSalesClean[[#This Row],[Gross_Revenue_ZAR]]*(1-tblSalesClean[[#This Row],[Discount_Pct]]))</f>
        <v>7020</v>
      </c>
      <c r="M168" s="30">
        <f>IF(OR(tblSalesClean[[#This Row],[Net_Revenue_ZAR]]="",tblSalesClean[[#This Row],[Quantity]]="",tblSalesClean[[#This Row],[Unit_Cost_ZAR]]=""),"",tblSalesClean[[#This Row],[Net_Revenue_ZAR]]-(tblSalesClean[[#This Row],[Quantity]]*tblSalesClean[[#This Row],[Unit_Cost_ZAR]]))</f>
        <v>1620</v>
      </c>
    </row>
    <row r="169" spans="1:13" ht="13.5" x14ac:dyDescent="0.25">
      <c r="A169" s="1" t="s">
        <v>194</v>
      </c>
      <c r="B169" s="3">
        <v>46016</v>
      </c>
      <c r="C169" s="1" t="s">
        <v>21</v>
      </c>
      <c r="D169" s="1" t="s">
        <v>22</v>
      </c>
      <c r="E169" s="1" t="s">
        <v>19</v>
      </c>
      <c r="F169" s="1">
        <v>6</v>
      </c>
      <c r="G169" s="1">
        <v>650</v>
      </c>
      <c r="H169" s="1">
        <v>340</v>
      </c>
      <c r="I169" s="1">
        <v>0</v>
      </c>
      <c r="J169" s="8" t="str">
        <f>IF(OR(tblSalesClean[[#This Row],[Quantity]]="",tblSalesClean[[#This Row],[Discount_Pct]]=""),"Incomplete","Complete")</f>
        <v>Complete</v>
      </c>
      <c r="K169" s="30">
        <f>IF(OR(tblSalesClean[[#This Row],[Quantity]]="",tblSalesClean[[#This Row],[Unit_Price_ZAR]]=""),"",tblSalesClean[[#This Row],[Quantity]]*tblSalesClean[[#This Row],[Unit_Price_ZAR]])</f>
        <v>3900</v>
      </c>
      <c r="L169" s="30">
        <f>IF(OR(tblSalesClean[[#This Row],[Gross_Revenue_ZAR]]="",tblSalesClean[[#This Row],[Discount_Pct]]=""),"",tblSalesClean[[#This Row],[Gross_Revenue_ZAR]]*(1-tblSalesClean[[#This Row],[Discount_Pct]]))</f>
        <v>3900</v>
      </c>
      <c r="M169" s="30">
        <f>IF(OR(tblSalesClean[[#This Row],[Net_Revenue_ZAR]]="",tblSalesClean[[#This Row],[Quantity]]="",tblSalesClean[[#This Row],[Unit_Cost_ZAR]]=""),"",tblSalesClean[[#This Row],[Net_Revenue_ZAR]]-(tblSalesClean[[#This Row],[Quantity]]*tblSalesClean[[#This Row],[Unit_Cost_ZAR]]))</f>
        <v>1860</v>
      </c>
    </row>
    <row r="170" spans="1:13" ht="13.5" x14ac:dyDescent="0.25">
      <c r="A170" s="1" t="s">
        <v>195</v>
      </c>
      <c r="B170" s="3">
        <v>45829</v>
      </c>
      <c r="C170" s="1" t="s">
        <v>17</v>
      </c>
      <c r="D170" s="1" t="s">
        <v>54</v>
      </c>
      <c r="E170" s="1" t="s">
        <v>15</v>
      </c>
      <c r="F170" s="1">
        <v>5</v>
      </c>
      <c r="G170" s="1">
        <v>3900</v>
      </c>
      <c r="H170" s="1">
        <v>2700</v>
      </c>
      <c r="I170" s="1">
        <v>0.05</v>
      </c>
      <c r="J170" s="8" t="str">
        <f>IF(OR(tblSalesClean[[#This Row],[Quantity]]="",tblSalesClean[[#This Row],[Discount_Pct]]=""),"Incomplete","Complete")</f>
        <v>Complete</v>
      </c>
      <c r="K170" s="30">
        <f>IF(OR(tblSalesClean[[#This Row],[Quantity]]="",tblSalesClean[[#This Row],[Unit_Price_ZAR]]=""),"",tblSalesClean[[#This Row],[Quantity]]*tblSalesClean[[#This Row],[Unit_Price_ZAR]])</f>
        <v>19500</v>
      </c>
      <c r="L170" s="30">
        <f>IF(OR(tblSalesClean[[#This Row],[Gross_Revenue_ZAR]]="",tblSalesClean[[#This Row],[Discount_Pct]]=""),"",tblSalesClean[[#This Row],[Gross_Revenue_ZAR]]*(1-tblSalesClean[[#This Row],[Discount_Pct]]))</f>
        <v>18525</v>
      </c>
      <c r="M170" s="30">
        <f>IF(OR(tblSalesClean[[#This Row],[Net_Revenue_ZAR]]="",tblSalesClean[[#This Row],[Quantity]]="",tblSalesClean[[#This Row],[Unit_Cost_ZAR]]=""),"",tblSalesClean[[#This Row],[Net_Revenue_ZAR]]-(tblSalesClean[[#This Row],[Quantity]]*tblSalesClean[[#This Row],[Unit_Cost_ZAR]]))</f>
        <v>5025</v>
      </c>
    </row>
    <row r="171" spans="1:13" ht="13.5" x14ac:dyDescent="0.25">
      <c r="A171" s="1" t="s">
        <v>196</v>
      </c>
      <c r="B171" s="3">
        <v>45838</v>
      </c>
      <c r="C171" s="1" t="s">
        <v>10</v>
      </c>
      <c r="D171" s="1" t="s">
        <v>28</v>
      </c>
      <c r="E171" s="1" t="s">
        <v>15</v>
      </c>
      <c r="F171" s="1">
        <v>6</v>
      </c>
      <c r="G171" s="1">
        <v>2800</v>
      </c>
      <c r="H171" s="1">
        <v>1900</v>
      </c>
      <c r="I171" s="1">
        <v>0.1</v>
      </c>
      <c r="J171" s="8" t="str">
        <f>IF(OR(tblSalesClean[[#This Row],[Quantity]]="",tblSalesClean[[#This Row],[Discount_Pct]]=""),"Incomplete","Complete")</f>
        <v>Complete</v>
      </c>
      <c r="K171" s="30">
        <f>IF(OR(tblSalesClean[[#This Row],[Quantity]]="",tblSalesClean[[#This Row],[Unit_Price_ZAR]]=""),"",tblSalesClean[[#This Row],[Quantity]]*tblSalesClean[[#This Row],[Unit_Price_ZAR]])</f>
        <v>16800</v>
      </c>
      <c r="L171" s="30">
        <f>IF(OR(tblSalesClean[[#This Row],[Gross_Revenue_ZAR]]="",tblSalesClean[[#This Row],[Discount_Pct]]=""),"",tblSalesClean[[#This Row],[Gross_Revenue_ZAR]]*(1-tblSalesClean[[#This Row],[Discount_Pct]]))</f>
        <v>15120</v>
      </c>
      <c r="M171" s="30">
        <f>IF(OR(tblSalesClean[[#This Row],[Net_Revenue_ZAR]]="",tblSalesClean[[#This Row],[Quantity]]="",tblSalesClean[[#This Row],[Unit_Cost_ZAR]]=""),"",tblSalesClean[[#This Row],[Net_Revenue_ZAR]]-(tblSalesClean[[#This Row],[Quantity]]*tblSalesClean[[#This Row],[Unit_Cost_ZAR]]))</f>
        <v>3720</v>
      </c>
    </row>
    <row r="172" spans="1:13" ht="13.5" x14ac:dyDescent="0.25">
      <c r="A172" s="1" t="s">
        <v>197</v>
      </c>
      <c r="B172" s="3">
        <v>45889</v>
      </c>
      <c r="C172" s="1" t="s">
        <v>10</v>
      </c>
      <c r="D172" s="1" t="s">
        <v>22</v>
      </c>
      <c r="E172" s="1" t="s">
        <v>19</v>
      </c>
      <c r="F172" s="1">
        <v>5</v>
      </c>
      <c r="G172" s="1">
        <v>650</v>
      </c>
      <c r="H172" s="1">
        <v>340</v>
      </c>
      <c r="I172" s="1">
        <v>0.1</v>
      </c>
      <c r="J172" s="8" t="str">
        <f>IF(OR(tblSalesClean[[#This Row],[Quantity]]="",tblSalesClean[[#This Row],[Discount_Pct]]=""),"Incomplete","Complete")</f>
        <v>Complete</v>
      </c>
      <c r="K172" s="30">
        <f>IF(OR(tblSalesClean[[#This Row],[Quantity]]="",tblSalesClean[[#This Row],[Unit_Price_ZAR]]=""),"",tblSalesClean[[#This Row],[Quantity]]*tblSalesClean[[#This Row],[Unit_Price_ZAR]])</f>
        <v>3250</v>
      </c>
      <c r="L172" s="30">
        <f>IF(OR(tblSalesClean[[#This Row],[Gross_Revenue_ZAR]]="",tblSalesClean[[#This Row],[Discount_Pct]]=""),"",tblSalesClean[[#This Row],[Gross_Revenue_ZAR]]*(1-tblSalesClean[[#This Row],[Discount_Pct]]))</f>
        <v>2925</v>
      </c>
      <c r="M172" s="30">
        <f>IF(OR(tblSalesClean[[#This Row],[Net_Revenue_ZAR]]="",tblSalesClean[[#This Row],[Quantity]]="",tblSalesClean[[#This Row],[Unit_Cost_ZAR]]=""),"",tblSalesClean[[#This Row],[Net_Revenue_ZAR]]-(tblSalesClean[[#This Row],[Quantity]]*tblSalesClean[[#This Row],[Unit_Cost_ZAR]]))</f>
        <v>1225</v>
      </c>
    </row>
    <row r="173" spans="1:13" ht="13.5" x14ac:dyDescent="0.25">
      <c r="A173" s="1" t="s">
        <v>198</v>
      </c>
      <c r="B173" s="3">
        <v>45768</v>
      </c>
      <c r="C173" s="1" t="s">
        <v>27</v>
      </c>
      <c r="D173" s="1" t="s">
        <v>14</v>
      </c>
      <c r="E173" s="1" t="s">
        <v>15</v>
      </c>
      <c r="F173" s="1">
        <v>3</v>
      </c>
      <c r="G173" s="1">
        <v>2100</v>
      </c>
      <c r="H173" s="1">
        <v>1350</v>
      </c>
      <c r="I173" s="1">
        <v>0.05</v>
      </c>
      <c r="J173" s="8" t="str">
        <f>IF(OR(tblSalesClean[[#This Row],[Quantity]]="",tblSalesClean[[#This Row],[Discount_Pct]]=""),"Incomplete","Complete")</f>
        <v>Complete</v>
      </c>
      <c r="K173" s="30">
        <f>IF(OR(tblSalesClean[[#This Row],[Quantity]]="",tblSalesClean[[#This Row],[Unit_Price_ZAR]]=""),"",tblSalesClean[[#This Row],[Quantity]]*tblSalesClean[[#This Row],[Unit_Price_ZAR]])</f>
        <v>6300</v>
      </c>
      <c r="L173" s="30">
        <f>IF(OR(tblSalesClean[[#This Row],[Gross_Revenue_ZAR]]="",tblSalesClean[[#This Row],[Discount_Pct]]=""),"",tblSalesClean[[#This Row],[Gross_Revenue_ZAR]]*(1-tblSalesClean[[#This Row],[Discount_Pct]]))</f>
        <v>5985</v>
      </c>
      <c r="M173" s="30">
        <f>IF(OR(tblSalesClean[[#This Row],[Net_Revenue_ZAR]]="",tblSalesClean[[#This Row],[Quantity]]="",tblSalesClean[[#This Row],[Unit_Cost_ZAR]]=""),"",tblSalesClean[[#This Row],[Net_Revenue_ZAR]]-(tblSalesClean[[#This Row],[Quantity]]*tblSalesClean[[#This Row],[Unit_Cost_ZAR]]))</f>
        <v>1935</v>
      </c>
    </row>
    <row r="174" spans="1:13" ht="13.5" x14ac:dyDescent="0.25">
      <c r="A174" s="1" t="s">
        <v>199</v>
      </c>
      <c r="B174" s="3">
        <v>46021</v>
      </c>
      <c r="C174" s="1" t="s">
        <v>10</v>
      </c>
      <c r="D174" s="1" t="s">
        <v>18</v>
      </c>
      <c r="E174" s="1" t="s">
        <v>19</v>
      </c>
      <c r="F174" s="1">
        <v>4</v>
      </c>
      <c r="G174" s="1">
        <v>12500</v>
      </c>
      <c r="H174" s="1">
        <v>9400</v>
      </c>
      <c r="I174" s="1">
        <v>0</v>
      </c>
      <c r="J174" s="8" t="str">
        <f>IF(OR(tblSalesClean[[#This Row],[Quantity]]="",tblSalesClean[[#This Row],[Discount_Pct]]=""),"Incomplete","Complete")</f>
        <v>Complete</v>
      </c>
      <c r="K174" s="30">
        <f>IF(OR(tblSalesClean[[#This Row],[Quantity]]="",tblSalesClean[[#This Row],[Unit_Price_ZAR]]=""),"",tblSalesClean[[#This Row],[Quantity]]*tblSalesClean[[#This Row],[Unit_Price_ZAR]])</f>
        <v>50000</v>
      </c>
      <c r="L174" s="30">
        <f>IF(OR(tblSalesClean[[#This Row],[Gross_Revenue_ZAR]]="",tblSalesClean[[#This Row],[Discount_Pct]]=""),"",tblSalesClean[[#This Row],[Gross_Revenue_ZAR]]*(1-tblSalesClean[[#This Row],[Discount_Pct]]))</f>
        <v>50000</v>
      </c>
      <c r="M174" s="30">
        <f>IF(OR(tblSalesClean[[#This Row],[Net_Revenue_ZAR]]="",tblSalesClean[[#This Row],[Quantity]]="",tblSalesClean[[#This Row],[Unit_Cost_ZAR]]=""),"",tblSalesClean[[#This Row],[Net_Revenue_ZAR]]-(tblSalesClean[[#This Row],[Quantity]]*tblSalesClean[[#This Row],[Unit_Cost_ZAR]]))</f>
        <v>12400</v>
      </c>
    </row>
    <row r="175" spans="1:13" ht="13.5" x14ac:dyDescent="0.25">
      <c r="A175" s="1" t="s">
        <v>200</v>
      </c>
      <c r="B175" s="3">
        <v>45867</v>
      </c>
      <c r="C175" s="1" t="s">
        <v>27</v>
      </c>
      <c r="D175" s="1" t="s">
        <v>11</v>
      </c>
      <c r="E175" s="1" t="s">
        <v>12</v>
      </c>
      <c r="F175" s="1">
        <v>6</v>
      </c>
      <c r="G175" s="1">
        <v>1850</v>
      </c>
      <c r="H175" s="1">
        <v>1200</v>
      </c>
      <c r="I175" s="1">
        <v>0.15</v>
      </c>
      <c r="J175" s="8" t="str">
        <f>IF(OR(tblSalesClean[[#This Row],[Quantity]]="",tblSalesClean[[#This Row],[Discount_Pct]]=""),"Incomplete","Complete")</f>
        <v>Complete</v>
      </c>
      <c r="K175" s="30">
        <f>IF(OR(tblSalesClean[[#This Row],[Quantity]]="",tblSalesClean[[#This Row],[Unit_Price_ZAR]]=""),"",tblSalesClean[[#This Row],[Quantity]]*tblSalesClean[[#This Row],[Unit_Price_ZAR]])</f>
        <v>11100</v>
      </c>
      <c r="L175" s="30">
        <f>IF(OR(tblSalesClean[[#This Row],[Gross_Revenue_ZAR]]="",tblSalesClean[[#This Row],[Discount_Pct]]=""),"",tblSalesClean[[#This Row],[Gross_Revenue_ZAR]]*(1-tblSalesClean[[#This Row],[Discount_Pct]]))</f>
        <v>9435</v>
      </c>
      <c r="M175" s="30">
        <f>IF(OR(tblSalesClean[[#This Row],[Net_Revenue_ZAR]]="",tblSalesClean[[#This Row],[Quantity]]="",tblSalesClean[[#This Row],[Unit_Cost_ZAR]]=""),"",tblSalesClean[[#This Row],[Net_Revenue_ZAR]]-(tblSalesClean[[#This Row],[Quantity]]*tblSalesClean[[#This Row],[Unit_Cost_ZAR]]))</f>
        <v>2235</v>
      </c>
    </row>
    <row r="176" spans="1:13" ht="13.5" x14ac:dyDescent="0.25">
      <c r="A176" s="1" t="s">
        <v>201</v>
      </c>
      <c r="B176" s="3">
        <v>45772</v>
      </c>
      <c r="C176" s="1" t="s">
        <v>10</v>
      </c>
      <c r="D176" s="1" t="s">
        <v>18</v>
      </c>
      <c r="E176" s="1" t="s">
        <v>19</v>
      </c>
      <c r="F176" s="1">
        <v>2</v>
      </c>
      <c r="G176" s="1">
        <v>12500</v>
      </c>
      <c r="H176" s="1">
        <v>9400</v>
      </c>
      <c r="I176" s="1">
        <v>0</v>
      </c>
      <c r="J176" s="8" t="str">
        <f>IF(OR(tblSalesClean[[#This Row],[Quantity]]="",tblSalesClean[[#This Row],[Discount_Pct]]=""),"Incomplete","Complete")</f>
        <v>Complete</v>
      </c>
      <c r="K176" s="30">
        <f>IF(OR(tblSalesClean[[#This Row],[Quantity]]="",tblSalesClean[[#This Row],[Unit_Price_ZAR]]=""),"",tblSalesClean[[#This Row],[Quantity]]*tblSalesClean[[#This Row],[Unit_Price_ZAR]])</f>
        <v>25000</v>
      </c>
      <c r="L176" s="30">
        <f>IF(OR(tblSalesClean[[#This Row],[Gross_Revenue_ZAR]]="",tblSalesClean[[#This Row],[Discount_Pct]]=""),"",tblSalesClean[[#This Row],[Gross_Revenue_ZAR]]*(1-tblSalesClean[[#This Row],[Discount_Pct]]))</f>
        <v>25000</v>
      </c>
      <c r="M176" s="30">
        <f>IF(OR(tblSalesClean[[#This Row],[Net_Revenue_ZAR]]="",tblSalesClean[[#This Row],[Quantity]]="",tblSalesClean[[#This Row],[Unit_Cost_ZAR]]=""),"",tblSalesClean[[#This Row],[Net_Revenue_ZAR]]-(tblSalesClean[[#This Row],[Quantity]]*tblSalesClean[[#This Row],[Unit_Cost_ZAR]]))</f>
        <v>6200</v>
      </c>
    </row>
    <row r="177" spans="1:13" ht="13.5" x14ac:dyDescent="0.25">
      <c r="A177" s="1" t="s">
        <v>202</v>
      </c>
      <c r="B177" s="3">
        <v>45858</v>
      </c>
      <c r="C177" s="1" t="s">
        <v>21</v>
      </c>
      <c r="D177" s="1" t="s">
        <v>28</v>
      </c>
      <c r="E177" s="1" t="s">
        <v>15</v>
      </c>
      <c r="F177" s="1">
        <v>6</v>
      </c>
      <c r="G177" s="1">
        <v>2800</v>
      </c>
      <c r="H177" s="1">
        <v>1900</v>
      </c>
      <c r="I177" s="1">
        <v>0.05</v>
      </c>
      <c r="J177" s="8" t="str">
        <f>IF(OR(tblSalesClean[[#This Row],[Quantity]]="",tblSalesClean[[#This Row],[Discount_Pct]]=""),"Incomplete","Complete")</f>
        <v>Complete</v>
      </c>
      <c r="K177" s="30">
        <f>IF(OR(tblSalesClean[[#This Row],[Quantity]]="",tblSalesClean[[#This Row],[Unit_Price_ZAR]]=""),"",tblSalesClean[[#This Row],[Quantity]]*tblSalesClean[[#This Row],[Unit_Price_ZAR]])</f>
        <v>16800</v>
      </c>
      <c r="L177" s="30">
        <f>IF(OR(tblSalesClean[[#This Row],[Gross_Revenue_ZAR]]="",tblSalesClean[[#This Row],[Discount_Pct]]=""),"",tblSalesClean[[#This Row],[Gross_Revenue_ZAR]]*(1-tblSalesClean[[#This Row],[Discount_Pct]]))</f>
        <v>15960</v>
      </c>
      <c r="M177" s="30">
        <f>IF(OR(tblSalesClean[[#This Row],[Net_Revenue_ZAR]]="",tblSalesClean[[#This Row],[Quantity]]="",tblSalesClean[[#This Row],[Unit_Cost_ZAR]]=""),"",tblSalesClean[[#This Row],[Net_Revenue_ZAR]]-(tblSalesClean[[#This Row],[Quantity]]*tblSalesClean[[#This Row],[Unit_Cost_ZAR]]))</f>
        <v>4560</v>
      </c>
    </row>
    <row r="178" spans="1:13" ht="13.5" x14ac:dyDescent="0.25">
      <c r="A178" s="1" t="s">
        <v>203</v>
      </c>
      <c r="B178" s="3">
        <v>45986</v>
      </c>
      <c r="C178" s="1" t="s">
        <v>21</v>
      </c>
      <c r="D178" s="1" t="s">
        <v>22</v>
      </c>
      <c r="E178" s="1" t="s">
        <v>19</v>
      </c>
      <c r="F178" s="1">
        <v>2</v>
      </c>
      <c r="G178" s="1">
        <v>650</v>
      </c>
      <c r="H178" s="1">
        <v>340</v>
      </c>
      <c r="I178" s="1">
        <v>0</v>
      </c>
      <c r="J178" s="8" t="str">
        <f>IF(OR(tblSalesClean[[#This Row],[Quantity]]="",tblSalesClean[[#This Row],[Discount_Pct]]=""),"Incomplete","Complete")</f>
        <v>Complete</v>
      </c>
      <c r="K178" s="30">
        <f>IF(OR(tblSalesClean[[#This Row],[Quantity]]="",tblSalesClean[[#This Row],[Unit_Price_ZAR]]=""),"",tblSalesClean[[#This Row],[Quantity]]*tblSalesClean[[#This Row],[Unit_Price_ZAR]])</f>
        <v>1300</v>
      </c>
      <c r="L178" s="30">
        <f>IF(OR(tblSalesClean[[#This Row],[Gross_Revenue_ZAR]]="",tblSalesClean[[#This Row],[Discount_Pct]]=""),"",tblSalesClean[[#This Row],[Gross_Revenue_ZAR]]*(1-tblSalesClean[[#This Row],[Discount_Pct]]))</f>
        <v>1300</v>
      </c>
      <c r="M178" s="30">
        <f>IF(OR(tblSalesClean[[#This Row],[Net_Revenue_ZAR]]="",tblSalesClean[[#This Row],[Quantity]]="",tblSalesClean[[#This Row],[Unit_Cost_ZAR]]=""),"",tblSalesClean[[#This Row],[Net_Revenue_ZAR]]-(tblSalesClean[[#This Row],[Quantity]]*tblSalesClean[[#This Row],[Unit_Cost_ZAR]]))</f>
        <v>620</v>
      </c>
    </row>
    <row r="179" spans="1:13" ht="13.5" x14ac:dyDescent="0.25">
      <c r="A179" s="1" t="s">
        <v>204</v>
      </c>
      <c r="B179" s="3">
        <v>45717</v>
      </c>
      <c r="C179" s="1" t="s">
        <v>10</v>
      </c>
      <c r="D179" s="1" t="s">
        <v>22</v>
      </c>
      <c r="E179" s="1" t="s">
        <v>19</v>
      </c>
      <c r="F179" s="1">
        <v>5</v>
      </c>
      <c r="G179" s="1">
        <v>650</v>
      </c>
      <c r="H179" s="1">
        <v>340</v>
      </c>
      <c r="I179" s="1">
        <v>0</v>
      </c>
      <c r="J179" s="8" t="str">
        <f>IF(OR(tblSalesClean[[#This Row],[Quantity]]="",tblSalesClean[[#This Row],[Discount_Pct]]=""),"Incomplete","Complete")</f>
        <v>Complete</v>
      </c>
      <c r="K179" s="30">
        <f>IF(OR(tblSalesClean[[#This Row],[Quantity]]="",tblSalesClean[[#This Row],[Unit_Price_ZAR]]=""),"",tblSalesClean[[#This Row],[Quantity]]*tblSalesClean[[#This Row],[Unit_Price_ZAR]])</f>
        <v>3250</v>
      </c>
      <c r="L179" s="30">
        <f>IF(OR(tblSalesClean[[#This Row],[Gross_Revenue_ZAR]]="",tblSalesClean[[#This Row],[Discount_Pct]]=""),"",tblSalesClean[[#This Row],[Gross_Revenue_ZAR]]*(1-tblSalesClean[[#This Row],[Discount_Pct]]))</f>
        <v>3250</v>
      </c>
      <c r="M179" s="30">
        <f>IF(OR(tblSalesClean[[#This Row],[Net_Revenue_ZAR]]="",tblSalesClean[[#This Row],[Quantity]]="",tblSalesClean[[#This Row],[Unit_Cost_ZAR]]=""),"",tblSalesClean[[#This Row],[Net_Revenue_ZAR]]-(tblSalesClean[[#This Row],[Quantity]]*tblSalesClean[[#This Row],[Unit_Cost_ZAR]]))</f>
        <v>1550</v>
      </c>
    </row>
    <row r="180" spans="1:13" ht="13.5" x14ac:dyDescent="0.25">
      <c r="A180" s="1" t="s">
        <v>205</v>
      </c>
      <c r="B180" s="3">
        <v>45893</v>
      </c>
      <c r="C180" s="1" t="s">
        <v>17</v>
      </c>
      <c r="D180" s="1" t="s">
        <v>63</v>
      </c>
      <c r="E180" s="1" t="s">
        <v>12</v>
      </c>
      <c r="F180" s="1">
        <v>2</v>
      </c>
      <c r="G180" s="1">
        <v>520</v>
      </c>
      <c r="H180" s="1">
        <v>290</v>
      </c>
      <c r="I180" s="1">
        <v>0.1</v>
      </c>
      <c r="J180" s="8" t="str">
        <f>IF(OR(tblSalesClean[[#This Row],[Quantity]]="",tblSalesClean[[#This Row],[Discount_Pct]]=""),"Incomplete","Complete")</f>
        <v>Complete</v>
      </c>
      <c r="K180" s="30">
        <f>IF(OR(tblSalesClean[[#This Row],[Quantity]]="",tblSalesClean[[#This Row],[Unit_Price_ZAR]]=""),"",tblSalesClean[[#This Row],[Quantity]]*tblSalesClean[[#This Row],[Unit_Price_ZAR]])</f>
        <v>1040</v>
      </c>
      <c r="L180" s="30">
        <f>IF(OR(tblSalesClean[[#This Row],[Gross_Revenue_ZAR]]="",tblSalesClean[[#This Row],[Discount_Pct]]=""),"",tblSalesClean[[#This Row],[Gross_Revenue_ZAR]]*(1-tblSalesClean[[#This Row],[Discount_Pct]]))</f>
        <v>936</v>
      </c>
      <c r="M180" s="30">
        <f>IF(OR(tblSalesClean[[#This Row],[Net_Revenue_ZAR]]="",tblSalesClean[[#This Row],[Quantity]]="",tblSalesClean[[#This Row],[Unit_Cost_ZAR]]=""),"",tblSalesClean[[#This Row],[Net_Revenue_ZAR]]-(tblSalesClean[[#This Row],[Quantity]]*tblSalesClean[[#This Row],[Unit_Cost_ZAR]]))</f>
        <v>356</v>
      </c>
    </row>
    <row r="181" spans="1:13" ht="13.5" x14ac:dyDescent="0.25">
      <c r="A181" s="1" t="s">
        <v>206</v>
      </c>
      <c r="B181" s="3">
        <v>45673</v>
      </c>
      <c r="C181" s="1" t="s">
        <v>10</v>
      </c>
      <c r="D181" s="1" t="s">
        <v>18</v>
      </c>
      <c r="E181" s="1" t="s">
        <v>19</v>
      </c>
      <c r="F181" s="1">
        <v>3</v>
      </c>
      <c r="G181" s="1">
        <v>12500</v>
      </c>
      <c r="H181" s="1">
        <v>9400</v>
      </c>
      <c r="I181" s="1">
        <v>0.15</v>
      </c>
      <c r="J181" s="8" t="str">
        <f>IF(OR(tblSalesClean[[#This Row],[Quantity]]="",tblSalesClean[[#This Row],[Discount_Pct]]=""),"Incomplete","Complete")</f>
        <v>Complete</v>
      </c>
      <c r="K181" s="30">
        <f>IF(OR(tblSalesClean[[#This Row],[Quantity]]="",tblSalesClean[[#This Row],[Unit_Price_ZAR]]=""),"",tblSalesClean[[#This Row],[Quantity]]*tblSalesClean[[#This Row],[Unit_Price_ZAR]])</f>
        <v>37500</v>
      </c>
      <c r="L181" s="30">
        <f>IF(OR(tblSalesClean[[#This Row],[Gross_Revenue_ZAR]]="",tblSalesClean[[#This Row],[Discount_Pct]]=""),"",tblSalesClean[[#This Row],[Gross_Revenue_ZAR]]*(1-tblSalesClean[[#This Row],[Discount_Pct]]))</f>
        <v>31875</v>
      </c>
      <c r="M181" s="30">
        <f>IF(OR(tblSalesClean[[#This Row],[Net_Revenue_ZAR]]="",tblSalesClean[[#This Row],[Quantity]]="",tblSalesClean[[#This Row],[Unit_Cost_ZAR]]=""),"",tblSalesClean[[#This Row],[Net_Revenue_ZAR]]-(tblSalesClean[[#This Row],[Quantity]]*tblSalesClean[[#This Row],[Unit_Cost_ZAR]]))</f>
        <v>3675</v>
      </c>
    </row>
    <row r="182" spans="1:13" ht="13.5" x14ac:dyDescent="0.25">
      <c r="A182" s="1" t="s">
        <v>207</v>
      </c>
      <c r="B182" s="3">
        <v>46003</v>
      </c>
      <c r="C182" s="1" t="s">
        <v>10</v>
      </c>
      <c r="D182" s="1" t="s">
        <v>54</v>
      </c>
      <c r="E182" s="1" t="s">
        <v>15</v>
      </c>
      <c r="F182" s="1">
        <v>2</v>
      </c>
      <c r="G182" s="1">
        <v>3900</v>
      </c>
      <c r="H182" s="1">
        <v>2700</v>
      </c>
      <c r="I182" s="1">
        <v>0.1</v>
      </c>
      <c r="J182" s="8" t="str">
        <f>IF(OR(tblSalesClean[[#This Row],[Quantity]]="",tblSalesClean[[#This Row],[Discount_Pct]]=""),"Incomplete","Complete")</f>
        <v>Complete</v>
      </c>
      <c r="K182" s="30">
        <f>IF(OR(tblSalesClean[[#This Row],[Quantity]]="",tblSalesClean[[#This Row],[Unit_Price_ZAR]]=""),"",tblSalesClean[[#This Row],[Quantity]]*tblSalesClean[[#This Row],[Unit_Price_ZAR]])</f>
        <v>7800</v>
      </c>
      <c r="L182" s="30">
        <f>IF(OR(tblSalesClean[[#This Row],[Gross_Revenue_ZAR]]="",tblSalesClean[[#This Row],[Discount_Pct]]=""),"",tblSalesClean[[#This Row],[Gross_Revenue_ZAR]]*(1-tblSalesClean[[#This Row],[Discount_Pct]]))</f>
        <v>7020</v>
      </c>
      <c r="M182" s="30">
        <f>IF(OR(tblSalesClean[[#This Row],[Net_Revenue_ZAR]]="",tblSalesClean[[#This Row],[Quantity]]="",tblSalesClean[[#This Row],[Unit_Cost_ZAR]]=""),"",tblSalesClean[[#This Row],[Net_Revenue_ZAR]]-(tblSalesClean[[#This Row],[Quantity]]*tblSalesClean[[#This Row],[Unit_Cost_ZAR]]))</f>
        <v>1620</v>
      </c>
    </row>
    <row r="183" spans="1:13" ht="13.5" x14ac:dyDescent="0.25">
      <c r="A183" s="1" t="s">
        <v>208</v>
      </c>
      <c r="B183" s="3">
        <v>45854</v>
      </c>
      <c r="C183" s="1" t="s">
        <v>17</v>
      </c>
      <c r="D183" s="1" t="s">
        <v>63</v>
      </c>
      <c r="E183" s="1" t="s">
        <v>12</v>
      </c>
      <c r="F183" s="1">
        <v>1</v>
      </c>
      <c r="G183" s="1">
        <v>520</v>
      </c>
      <c r="H183" s="1">
        <v>290</v>
      </c>
      <c r="I183" s="1">
        <v>0</v>
      </c>
      <c r="J183" s="8" t="str">
        <f>IF(OR(tblSalesClean[[#This Row],[Quantity]]="",tblSalesClean[[#This Row],[Discount_Pct]]=""),"Incomplete","Complete")</f>
        <v>Complete</v>
      </c>
      <c r="K183" s="30">
        <f>IF(OR(tblSalesClean[[#This Row],[Quantity]]="",tblSalesClean[[#This Row],[Unit_Price_ZAR]]=""),"",tblSalesClean[[#This Row],[Quantity]]*tblSalesClean[[#This Row],[Unit_Price_ZAR]])</f>
        <v>520</v>
      </c>
      <c r="L183" s="30">
        <f>IF(OR(tblSalesClean[[#This Row],[Gross_Revenue_ZAR]]="",tblSalesClean[[#This Row],[Discount_Pct]]=""),"",tblSalesClean[[#This Row],[Gross_Revenue_ZAR]]*(1-tblSalesClean[[#This Row],[Discount_Pct]]))</f>
        <v>520</v>
      </c>
      <c r="M183" s="30">
        <f>IF(OR(tblSalesClean[[#This Row],[Net_Revenue_ZAR]]="",tblSalesClean[[#This Row],[Quantity]]="",tblSalesClean[[#This Row],[Unit_Cost_ZAR]]=""),"",tblSalesClean[[#This Row],[Net_Revenue_ZAR]]-(tblSalesClean[[#This Row],[Quantity]]*tblSalesClean[[#This Row],[Unit_Cost_ZAR]]))</f>
        <v>230</v>
      </c>
    </row>
    <row r="184" spans="1:13" ht="13.5" x14ac:dyDescent="0.25">
      <c r="A184" s="1" t="s">
        <v>209</v>
      </c>
      <c r="B184" s="3">
        <v>45951</v>
      </c>
      <c r="C184" s="1" t="s">
        <v>10</v>
      </c>
      <c r="D184" s="1" t="s">
        <v>63</v>
      </c>
      <c r="E184" s="1" t="s">
        <v>12</v>
      </c>
      <c r="F184" s="1">
        <v>4</v>
      </c>
      <c r="G184" s="1">
        <v>520</v>
      </c>
      <c r="H184" s="1">
        <v>290</v>
      </c>
      <c r="I184" s="1">
        <v>0.05</v>
      </c>
      <c r="J184" s="8" t="str">
        <f>IF(OR(tblSalesClean[[#This Row],[Quantity]]="",tblSalesClean[[#This Row],[Discount_Pct]]=""),"Incomplete","Complete")</f>
        <v>Complete</v>
      </c>
      <c r="K184" s="30">
        <f>IF(OR(tblSalesClean[[#This Row],[Quantity]]="",tblSalesClean[[#This Row],[Unit_Price_ZAR]]=""),"",tblSalesClean[[#This Row],[Quantity]]*tblSalesClean[[#This Row],[Unit_Price_ZAR]])</f>
        <v>2080</v>
      </c>
      <c r="L184" s="30">
        <f>IF(OR(tblSalesClean[[#This Row],[Gross_Revenue_ZAR]]="",tblSalesClean[[#This Row],[Discount_Pct]]=""),"",tblSalesClean[[#This Row],[Gross_Revenue_ZAR]]*(1-tblSalesClean[[#This Row],[Discount_Pct]]))</f>
        <v>1976</v>
      </c>
      <c r="M184" s="30">
        <f>IF(OR(tblSalesClean[[#This Row],[Net_Revenue_ZAR]]="",tblSalesClean[[#This Row],[Quantity]]="",tblSalesClean[[#This Row],[Unit_Cost_ZAR]]=""),"",tblSalesClean[[#This Row],[Net_Revenue_ZAR]]-(tblSalesClean[[#This Row],[Quantity]]*tblSalesClean[[#This Row],[Unit_Cost_ZAR]]))</f>
        <v>816</v>
      </c>
    </row>
    <row r="185" spans="1:13" ht="13.5" x14ac:dyDescent="0.25">
      <c r="A185" s="1" t="s">
        <v>210</v>
      </c>
      <c r="B185" s="3">
        <v>45799</v>
      </c>
      <c r="C185" s="1" t="s">
        <v>17</v>
      </c>
      <c r="D185" s="1" t="s">
        <v>18</v>
      </c>
      <c r="E185" s="1" t="s">
        <v>19</v>
      </c>
      <c r="F185" s="1">
        <v>5</v>
      </c>
      <c r="G185" s="1">
        <v>12500</v>
      </c>
      <c r="H185" s="1">
        <v>9400</v>
      </c>
      <c r="I185" s="1">
        <v>0.05</v>
      </c>
      <c r="J185" s="8" t="str">
        <f>IF(OR(tblSalesClean[[#This Row],[Quantity]]="",tblSalesClean[[#This Row],[Discount_Pct]]=""),"Incomplete","Complete")</f>
        <v>Complete</v>
      </c>
      <c r="K185" s="30">
        <f>IF(OR(tblSalesClean[[#This Row],[Quantity]]="",tblSalesClean[[#This Row],[Unit_Price_ZAR]]=""),"",tblSalesClean[[#This Row],[Quantity]]*tblSalesClean[[#This Row],[Unit_Price_ZAR]])</f>
        <v>62500</v>
      </c>
      <c r="L185" s="30">
        <f>IF(OR(tblSalesClean[[#This Row],[Gross_Revenue_ZAR]]="",tblSalesClean[[#This Row],[Discount_Pct]]=""),"",tblSalesClean[[#This Row],[Gross_Revenue_ZAR]]*(1-tblSalesClean[[#This Row],[Discount_Pct]]))</f>
        <v>59375</v>
      </c>
      <c r="M185" s="30">
        <f>IF(OR(tblSalesClean[[#This Row],[Net_Revenue_ZAR]]="",tblSalesClean[[#This Row],[Quantity]]="",tblSalesClean[[#This Row],[Unit_Cost_ZAR]]=""),"",tblSalesClean[[#This Row],[Net_Revenue_ZAR]]-(tblSalesClean[[#This Row],[Quantity]]*tblSalesClean[[#This Row],[Unit_Cost_ZAR]]))</f>
        <v>12375</v>
      </c>
    </row>
    <row r="186" spans="1:13" ht="13.5" x14ac:dyDescent="0.25">
      <c r="A186" s="1" t="s">
        <v>211</v>
      </c>
      <c r="B186" s="3">
        <v>45965</v>
      </c>
      <c r="C186" s="1" t="s">
        <v>10</v>
      </c>
      <c r="D186" s="1" t="s">
        <v>54</v>
      </c>
      <c r="E186" s="1" t="s">
        <v>15</v>
      </c>
      <c r="F186" s="1">
        <v>2</v>
      </c>
      <c r="G186" s="1">
        <v>3900</v>
      </c>
      <c r="H186" s="1">
        <v>2700</v>
      </c>
      <c r="I186" s="1">
        <v>0.1</v>
      </c>
      <c r="J186" s="8" t="str">
        <f>IF(OR(tblSalesClean[[#This Row],[Quantity]]="",tblSalesClean[[#This Row],[Discount_Pct]]=""),"Incomplete","Complete")</f>
        <v>Complete</v>
      </c>
      <c r="K186" s="30">
        <f>IF(OR(tblSalesClean[[#This Row],[Quantity]]="",tblSalesClean[[#This Row],[Unit_Price_ZAR]]=""),"",tblSalesClean[[#This Row],[Quantity]]*tblSalesClean[[#This Row],[Unit_Price_ZAR]])</f>
        <v>7800</v>
      </c>
      <c r="L186" s="30">
        <f>IF(OR(tblSalesClean[[#This Row],[Gross_Revenue_ZAR]]="",tblSalesClean[[#This Row],[Discount_Pct]]=""),"",tblSalesClean[[#This Row],[Gross_Revenue_ZAR]]*(1-tblSalesClean[[#This Row],[Discount_Pct]]))</f>
        <v>7020</v>
      </c>
      <c r="M186" s="30">
        <f>IF(OR(tblSalesClean[[#This Row],[Net_Revenue_ZAR]]="",tblSalesClean[[#This Row],[Quantity]]="",tblSalesClean[[#This Row],[Unit_Cost_ZAR]]=""),"",tblSalesClean[[#This Row],[Net_Revenue_ZAR]]-(tblSalesClean[[#This Row],[Quantity]]*tblSalesClean[[#This Row],[Unit_Cost_ZAR]]))</f>
        <v>1620</v>
      </c>
    </row>
    <row r="187" spans="1:13" ht="13.5" x14ac:dyDescent="0.25">
      <c r="A187" s="1" t="s">
        <v>212</v>
      </c>
      <c r="B187" s="3">
        <v>45925</v>
      </c>
      <c r="C187" s="1" t="s">
        <v>17</v>
      </c>
      <c r="D187" s="1" t="s">
        <v>44</v>
      </c>
      <c r="E187" s="1" t="s">
        <v>12</v>
      </c>
      <c r="F187" s="1">
        <v>1</v>
      </c>
      <c r="G187" s="1">
        <v>1100</v>
      </c>
      <c r="H187" s="1">
        <v>650</v>
      </c>
      <c r="I187" s="1">
        <v>0</v>
      </c>
      <c r="J187" s="8" t="str">
        <f>IF(OR(tblSalesClean[[#This Row],[Quantity]]="",tblSalesClean[[#This Row],[Discount_Pct]]=""),"Incomplete","Complete")</f>
        <v>Complete</v>
      </c>
      <c r="K187" s="30">
        <f>IF(OR(tblSalesClean[[#This Row],[Quantity]]="",tblSalesClean[[#This Row],[Unit_Price_ZAR]]=""),"",tblSalesClean[[#This Row],[Quantity]]*tblSalesClean[[#This Row],[Unit_Price_ZAR]])</f>
        <v>1100</v>
      </c>
      <c r="L187" s="30">
        <f>IF(OR(tblSalesClean[[#This Row],[Gross_Revenue_ZAR]]="",tblSalesClean[[#This Row],[Discount_Pct]]=""),"",tblSalesClean[[#This Row],[Gross_Revenue_ZAR]]*(1-tblSalesClean[[#This Row],[Discount_Pct]]))</f>
        <v>1100</v>
      </c>
      <c r="M187" s="30">
        <f>IF(OR(tblSalesClean[[#This Row],[Net_Revenue_ZAR]]="",tblSalesClean[[#This Row],[Quantity]]="",tblSalesClean[[#This Row],[Unit_Cost_ZAR]]=""),"",tblSalesClean[[#This Row],[Net_Revenue_ZAR]]-(tblSalesClean[[#This Row],[Quantity]]*tblSalesClean[[#This Row],[Unit_Cost_ZAR]]))</f>
        <v>450</v>
      </c>
    </row>
    <row r="188" spans="1:13" ht="13.5" x14ac:dyDescent="0.25">
      <c r="A188" s="1" t="s">
        <v>213</v>
      </c>
      <c r="B188" s="3">
        <v>45893</v>
      </c>
      <c r="C188" s="1" t="s">
        <v>10</v>
      </c>
      <c r="D188" s="1" t="s">
        <v>63</v>
      </c>
      <c r="E188" s="1" t="s">
        <v>12</v>
      </c>
      <c r="F188" s="1">
        <v>5</v>
      </c>
      <c r="G188" s="1">
        <v>520</v>
      </c>
      <c r="H188" s="1">
        <v>290</v>
      </c>
      <c r="I188" s="1">
        <v>0</v>
      </c>
      <c r="J188" s="8" t="str">
        <f>IF(OR(tblSalesClean[[#This Row],[Quantity]]="",tblSalesClean[[#This Row],[Discount_Pct]]=""),"Incomplete","Complete")</f>
        <v>Complete</v>
      </c>
      <c r="K188" s="30">
        <f>IF(OR(tblSalesClean[[#This Row],[Quantity]]="",tblSalesClean[[#This Row],[Unit_Price_ZAR]]=""),"",tblSalesClean[[#This Row],[Quantity]]*tblSalesClean[[#This Row],[Unit_Price_ZAR]])</f>
        <v>2600</v>
      </c>
      <c r="L188" s="30">
        <f>IF(OR(tblSalesClean[[#This Row],[Gross_Revenue_ZAR]]="",tblSalesClean[[#This Row],[Discount_Pct]]=""),"",tblSalesClean[[#This Row],[Gross_Revenue_ZAR]]*(1-tblSalesClean[[#This Row],[Discount_Pct]]))</f>
        <v>2600</v>
      </c>
      <c r="M188" s="30">
        <f>IF(OR(tblSalesClean[[#This Row],[Net_Revenue_ZAR]]="",tblSalesClean[[#This Row],[Quantity]]="",tblSalesClean[[#This Row],[Unit_Cost_ZAR]]=""),"",tblSalesClean[[#This Row],[Net_Revenue_ZAR]]-(tblSalesClean[[#This Row],[Quantity]]*tblSalesClean[[#This Row],[Unit_Cost_ZAR]]))</f>
        <v>1150</v>
      </c>
    </row>
    <row r="189" spans="1:13" ht="13.5" x14ac:dyDescent="0.25">
      <c r="A189" s="1" t="s">
        <v>214</v>
      </c>
      <c r="B189" s="3">
        <v>45764</v>
      </c>
      <c r="C189" s="1" t="s">
        <v>10</v>
      </c>
      <c r="D189" s="1" t="s">
        <v>11</v>
      </c>
      <c r="E189" s="1" t="s">
        <v>12</v>
      </c>
      <c r="F189" s="1">
        <v>1</v>
      </c>
      <c r="G189" s="1">
        <v>1850</v>
      </c>
      <c r="H189" s="1">
        <v>1200</v>
      </c>
      <c r="I189" s="1">
        <v>0.1</v>
      </c>
      <c r="J189" s="8" t="str">
        <f>IF(OR(tblSalesClean[[#This Row],[Quantity]]="",tblSalesClean[[#This Row],[Discount_Pct]]=""),"Incomplete","Complete")</f>
        <v>Complete</v>
      </c>
      <c r="K189" s="30">
        <f>IF(OR(tblSalesClean[[#This Row],[Quantity]]="",tblSalesClean[[#This Row],[Unit_Price_ZAR]]=""),"",tblSalesClean[[#This Row],[Quantity]]*tblSalesClean[[#This Row],[Unit_Price_ZAR]])</f>
        <v>1850</v>
      </c>
      <c r="L189" s="30">
        <f>IF(OR(tblSalesClean[[#This Row],[Gross_Revenue_ZAR]]="",tblSalesClean[[#This Row],[Discount_Pct]]=""),"",tblSalesClean[[#This Row],[Gross_Revenue_ZAR]]*(1-tblSalesClean[[#This Row],[Discount_Pct]]))</f>
        <v>1665</v>
      </c>
      <c r="M189" s="30">
        <f>IF(OR(tblSalesClean[[#This Row],[Net_Revenue_ZAR]]="",tblSalesClean[[#This Row],[Quantity]]="",tblSalesClean[[#This Row],[Unit_Cost_ZAR]]=""),"",tblSalesClean[[#This Row],[Net_Revenue_ZAR]]-(tblSalesClean[[#This Row],[Quantity]]*tblSalesClean[[#This Row],[Unit_Cost_ZAR]]))</f>
        <v>465</v>
      </c>
    </row>
    <row r="190" spans="1:13" ht="13.5" x14ac:dyDescent="0.25">
      <c r="A190" s="1" t="s">
        <v>215</v>
      </c>
      <c r="B190" s="3">
        <v>45899</v>
      </c>
      <c r="C190" s="1" t="s">
        <v>10</v>
      </c>
      <c r="D190" s="1" t="s">
        <v>11</v>
      </c>
      <c r="E190" s="1" t="s">
        <v>12</v>
      </c>
      <c r="F190" s="1">
        <v>3</v>
      </c>
      <c r="G190" s="1">
        <v>1850</v>
      </c>
      <c r="H190" s="1">
        <v>1200</v>
      </c>
      <c r="I190" s="1">
        <v>0</v>
      </c>
      <c r="J190" s="8" t="str">
        <f>IF(OR(tblSalesClean[[#This Row],[Quantity]]="",tblSalesClean[[#This Row],[Discount_Pct]]=""),"Incomplete","Complete")</f>
        <v>Complete</v>
      </c>
      <c r="K190" s="30">
        <f>IF(OR(tblSalesClean[[#This Row],[Quantity]]="",tblSalesClean[[#This Row],[Unit_Price_ZAR]]=""),"",tblSalesClean[[#This Row],[Quantity]]*tblSalesClean[[#This Row],[Unit_Price_ZAR]])</f>
        <v>5550</v>
      </c>
      <c r="L190" s="30">
        <f>IF(OR(tblSalesClean[[#This Row],[Gross_Revenue_ZAR]]="",tblSalesClean[[#This Row],[Discount_Pct]]=""),"",tblSalesClean[[#This Row],[Gross_Revenue_ZAR]]*(1-tblSalesClean[[#This Row],[Discount_Pct]]))</f>
        <v>5550</v>
      </c>
      <c r="M190" s="30">
        <f>IF(OR(tblSalesClean[[#This Row],[Net_Revenue_ZAR]]="",tblSalesClean[[#This Row],[Quantity]]="",tblSalesClean[[#This Row],[Unit_Cost_ZAR]]=""),"",tblSalesClean[[#This Row],[Net_Revenue_ZAR]]-(tblSalesClean[[#This Row],[Quantity]]*tblSalesClean[[#This Row],[Unit_Cost_ZAR]]))</f>
        <v>1950</v>
      </c>
    </row>
    <row r="191" spans="1:13" ht="13.5" x14ac:dyDescent="0.25">
      <c r="A191" s="1" t="s">
        <v>216</v>
      </c>
      <c r="B191" s="3">
        <v>45783</v>
      </c>
      <c r="C191" s="1" t="s">
        <v>17</v>
      </c>
      <c r="D191" s="1" t="s">
        <v>22</v>
      </c>
      <c r="E191" s="1" t="s">
        <v>19</v>
      </c>
      <c r="F191" s="1">
        <v>5</v>
      </c>
      <c r="G191" s="1">
        <v>650</v>
      </c>
      <c r="H191" s="1">
        <v>340</v>
      </c>
      <c r="I191" s="1">
        <v>0</v>
      </c>
      <c r="J191" s="8" t="str">
        <f>IF(OR(tblSalesClean[[#This Row],[Quantity]]="",tblSalesClean[[#This Row],[Discount_Pct]]=""),"Incomplete","Complete")</f>
        <v>Complete</v>
      </c>
      <c r="K191" s="30">
        <f>IF(OR(tblSalesClean[[#This Row],[Quantity]]="",tblSalesClean[[#This Row],[Unit_Price_ZAR]]=""),"",tblSalesClean[[#This Row],[Quantity]]*tblSalesClean[[#This Row],[Unit_Price_ZAR]])</f>
        <v>3250</v>
      </c>
      <c r="L191" s="30">
        <f>IF(OR(tblSalesClean[[#This Row],[Gross_Revenue_ZAR]]="",tblSalesClean[[#This Row],[Discount_Pct]]=""),"",tblSalesClean[[#This Row],[Gross_Revenue_ZAR]]*(1-tblSalesClean[[#This Row],[Discount_Pct]]))</f>
        <v>3250</v>
      </c>
      <c r="M191" s="30">
        <f>IF(OR(tblSalesClean[[#This Row],[Net_Revenue_ZAR]]="",tblSalesClean[[#This Row],[Quantity]]="",tblSalesClean[[#This Row],[Unit_Cost_ZAR]]=""),"",tblSalesClean[[#This Row],[Net_Revenue_ZAR]]-(tblSalesClean[[#This Row],[Quantity]]*tblSalesClean[[#This Row],[Unit_Cost_ZAR]]))</f>
        <v>1550</v>
      </c>
    </row>
    <row r="192" spans="1:13" ht="13.5" x14ac:dyDescent="0.25">
      <c r="A192" s="1" t="s">
        <v>217</v>
      </c>
      <c r="B192" s="3">
        <v>45829</v>
      </c>
      <c r="C192" s="1" t="s">
        <v>17</v>
      </c>
      <c r="D192" s="1" t="s">
        <v>25</v>
      </c>
      <c r="E192" s="1" t="s">
        <v>19</v>
      </c>
      <c r="F192" s="1">
        <v>2</v>
      </c>
      <c r="G192" s="1">
        <v>3400</v>
      </c>
      <c r="H192" s="1">
        <v>2300</v>
      </c>
      <c r="I192" s="1">
        <v>0</v>
      </c>
      <c r="J192" s="8" t="str">
        <f>IF(OR(tblSalesClean[[#This Row],[Quantity]]="",tblSalesClean[[#This Row],[Discount_Pct]]=""),"Incomplete","Complete")</f>
        <v>Complete</v>
      </c>
      <c r="K192" s="30">
        <f>IF(OR(tblSalesClean[[#This Row],[Quantity]]="",tblSalesClean[[#This Row],[Unit_Price_ZAR]]=""),"",tblSalesClean[[#This Row],[Quantity]]*tblSalesClean[[#This Row],[Unit_Price_ZAR]])</f>
        <v>6800</v>
      </c>
      <c r="L192" s="30">
        <f>IF(OR(tblSalesClean[[#This Row],[Gross_Revenue_ZAR]]="",tblSalesClean[[#This Row],[Discount_Pct]]=""),"",tblSalesClean[[#This Row],[Gross_Revenue_ZAR]]*(1-tblSalesClean[[#This Row],[Discount_Pct]]))</f>
        <v>6800</v>
      </c>
      <c r="M192" s="30">
        <f>IF(OR(tblSalesClean[[#This Row],[Net_Revenue_ZAR]]="",tblSalesClean[[#This Row],[Quantity]]="",tblSalesClean[[#This Row],[Unit_Cost_ZAR]]=""),"",tblSalesClean[[#This Row],[Net_Revenue_ZAR]]-(tblSalesClean[[#This Row],[Quantity]]*tblSalesClean[[#This Row],[Unit_Cost_ZAR]]))</f>
        <v>2200</v>
      </c>
    </row>
    <row r="193" spans="1:13" ht="13.5" x14ac:dyDescent="0.25">
      <c r="A193" s="1" t="s">
        <v>218</v>
      </c>
      <c r="B193" s="3">
        <v>45940</v>
      </c>
      <c r="C193" s="1" t="s">
        <v>10</v>
      </c>
      <c r="D193" s="1" t="s">
        <v>54</v>
      </c>
      <c r="E193" s="1" t="s">
        <v>15</v>
      </c>
      <c r="F193" s="1">
        <v>5</v>
      </c>
      <c r="G193" s="1">
        <v>3900</v>
      </c>
      <c r="H193" s="1">
        <v>2700</v>
      </c>
      <c r="I193" s="1">
        <v>0</v>
      </c>
      <c r="J193" s="8" t="str">
        <f>IF(OR(tblSalesClean[[#This Row],[Quantity]]="",tblSalesClean[[#This Row],[Discount_Pct]]=""),"Incomplete","Complete")</f>
        <v>Complete</v>
      </c>
      <c r="K193" s="30">
        <f>IF(OR(tblSalesClean[[#This Row],[Quantity]]="",tblSalesClean[[#This Row],[Unit_Price_ZAR]]=""),"",tblSalesClean[[#This Row],[Quantity]]*tblSalesClean[[#This Row],[Unit_Price_ZAR]])</f>
        <v>19500</v>
      </c>
      <c r="L193" s="30">
        <f>IF(OR(tblSalesClean[[#This Row],[Gross_Revenue_ZAR]]="",tblSalesClean[[#This Row],[Discount_Pct]]=""),"",tblSalesClean[[#This Row],[Gross_Revenue_ZAR]]*(1-tblSalesClean[[#This Row],[Discount_Pct]]))</f>
        <v>19500</v>
      </c>
      <c r="M193" s="30">
        <f>IF(OR(tblSalesClean[[#This Row],[Net_Revenue_ZAR]]="",tblSalesClean[[#This Row],[Quantity]]="",tblSalesClean[[#This Row],[Unit_Cost_ZAR]]=""),"",tblSalesClean[[#This Row],[Net_Revenue_ZAR]]-(tblSalesClean[[#This Row],[Quantity]]*tblSalesClean[[#This Row],[Unit_Cost_ZAR]]))</f>
        <v>6000</v>
      </c>
    </row>
    <row r="194" spans="1:13" ht="13.5" x14ac:dyDescent="0.25">
      <c r="A194" s="1" t="s">
        <v>219</v>
      </c>
      <c r="B194" s="3">
        <v>45775</v>
      </c>
      <c r="C194" s="1" t="s">
        <v>27</v>
      </c>
      <c r="D194" s="1" t="s">
        <v>11</v>
      </c>
      <c r="E194" s="1" t="s">
        <v>12</v>
      </c>
      <c r="F194" s="1">
        <v>4</v>
      </c>
      <c r="G194" s="1">
        <v>1850</v>
      </c>
      <c r="H194" s="1">
        <v>1200</v>
      </c>
      <c r="I194" s="1">
        <v>0.05</v>
      </c>
      <c r="J194" s="8" t="str">
        <f>IF(OR(tblSalesClean[[#This Row],[Quantity]]="",tblSalesClean[[#This Row],[Discount_Pct]]=""),"Incomplete","Complete")</f>
        <v>Complete</v>
      </c>
      <c r="K194" s="30">
        <f>IF(OR(tblSalesClean[[#This Row],[Quantity]]="",tblSalesClean[[#This Row],[Unit_Price_ZAR]]=""),"",tblSalesClean[[#This Row],[Quantity]]*tblSalesClean[[#This Row],[Unit_Price_ZAR]])</f>
        <v>7400</v>
      </c>
      <c r="L194" s="30">
        <f>IF(OR(tblSalesClean[[#This Row],[Gross_Revenue_ZAR]]="",tblSalesClean[[#This Row],[Discount_Pct]]=""),"",tblSalesClean[[#This Row],[Gross_Revenue_ZAR]]*(1-tblSalesClean[[#This Row],[Discount_Pct]]))</f>
        <v>7030</v>
      </c>
      <c r="M194" s="30">
        <f>IF(OR(tblSalesClean[[#This Row],[Net_Revenue_ZAR]]="",tblSalesClean[[#This Row],[Quantity]]="",tblSalesClean[[#This Row],[Unit_Cost_ZAR]]=""),"",tblSalesClean[[#This Row],[Net_Revenue_ZAR]]-(tblSalesClean[[#This Row],[Quantity]]*tblSalesClean[[#This Row],[Unit_Cost_ZAR]]))</f>
        <v>2230</v>
      </c>
    </row>
    <row r="195" spans="1:13" ht="13.5" x14ac:dyDescent="0.25">
      <c r="A195" s="1" t="s">
        <v>220</v>
      </c>
      <c r="B195" s="3">
        <v>45851</v>
      </c>
      <c r="C195" s="1" t="s">
        <v>10</v>
      </c>
      <c r="D195" s="1" t="s">
        <v>14</v>
      </c>
      <c r="E195" s="1" t="s">
        <v>15</v>
      </c>
      <c r="F195" s="1">
        <v>6</v>
      </c>
      <c r="G195" s="1">
        <v>2100</v>
      </c>
      <c r="H195" s="1">
        <v>1350</v>
      </c>
      <c r="I195" s="1">
        <v>0</v>
      </c>
      <c r="J195" s="8" t="str">
        <f>IF(OR(tblSalesClean[[#This Row],[Quantity]]="",tblSalesClean[[#This Row],[Discount_Pct]]=""),"Incomplete","Complete")</f>
        <v>Complete</v>
      </c>
      <c r="K195" s="30">
        <f>IF(OR(tblSalesClean[[#This Row],[Quantity]]="",tblSalesClean[[#This Row],[Unit_Price_ZAR]]=""),"",tblSalesClean[[#This Row],[Quantity]]*tblSalesClean[[#This Row],[Unit_Price_ZAR]])</f>
        <v>12600</v>
      </c>
      <c r="L195" s="30">
        <f>IF(OR(tblSalesClean[[#This Row],[Gross_Revenue_ZAR]]="",tblSalesClean[[#This Row],[Discount_Pct]]=""),"",tblSalesClean[[#This Row],[Gross_Revenue_ZAR]]*(1-tblSalesClean[[#This Row],[Discount_Pct]]))</f>
        <v>12600</v>
      </c>
      <c r="M195" s="30">
        <f>IF(OR(tblSalesClean[[#This Row],[Net_Revenue_ZAR]]="",tblSalesClean[[#This Row],[Quantity]]="",tblSalesClean[[#This Row],[Unit_Cost_ZAR]]=""),"",tblSalesClean[[#This Row],[Net_Revenue_ZAR]]-(tblSalesClean[[#This Row],[Quantity]]*tblSalesClean[[#This Row],[Unit_Cost_ZAR]]))</f>
        <v>4500</v>
      </c>
    </row>
    <row r="196" spans="1:13" ht="13.5" x14ac:dyDescent="0.25">
      <c r="A196" s="1" t="s">
        <v>221</v>
      </c>
      <c r="B196" s="3">
        <v>46002</v>
      </c>
      <c r="C196" s="1" t="s">
        <v>10</v>
      </c>
      <c r="D196" s="1" t="s">
        <v>28</v>
      </c>
      <c r="E196" s="1" t="s">
        <v>15</v>
      </c>
      <c r="F196" s="1">
        <v>6</v>
      </c>
      <c r="G196" s="1">
        <v>2800</v>
      </c>
      <c r="H196" s="1">
        <v>1900</v>
      </c>
      <c r="I196" s="1">
        <v>0.1</v>
      </c>
      <c r="J196" s="8" t="str">
        <f>IF(OR(tblSalesClean[[#This Row],[Quantity]]="",tblSalesClean[[#This Row],[Discount_Pct]]=""),"Incomplete","Complete")</f>
        <v>Complete</v>
      </c>
      <c r="K196" s="30">
        <f>IF(OR(tblSalesClean[[#This Row],[Quantity]]="",tblSalesClean[[#This Row],[Unit_Price_ZAR]]=""),"",tblSalesClean[[#This Row],[Quantity]]*tblSalesClean[[#This Row],[Unit_Price_ZAR]])</f>
        <v>16800</v>
      </c>
      <c r="L196" s="30">
        <f>IF(OR(tblSalesClean[[#This Row],[Gross_Revenue_ZAR]]="",tblSalesClean[[#This Row],[Discount_Pct]]=""),"",tblSalesClean[[#This Row],[Gross_Revenue_ZAR]]*(1-tblSalesClean[[#This Row],[Discount_Pct]]))</f>
        <v>15120</v>
      </c>
      <c r="M196" s="30">
        <f>IF(OR(tblSalesClean[[#This Row],[Net_Revenue_ZAR]]="",tblSalesClean[[#This Row],[Quantity]]="",tblSalesClean[[#This Row],[Unit_Cost_ZAR]]=""),"",tblSalesClean[[#This Row],[Net_Revenue_ZAR]]-(tblSalesClean[[#This Row],[Quantity]]*tblSalesClean[[#This Row],[Unit_Cost_ZAR]]))</f>
        <v>3720</v>
      </c>
    </row>
    <row r="197" spans="1:13" ht="13.5" x14ac:dyDescent="0.25">
      <c r="A197" s="1" t="s">
        <v>222</v>
      </c>
      <c r="B197" s="3">
        <v>45987</v>
      </c>
      <c r="C197" s="1" t="s">
        <v>17</v>
      </c>
      <c r="D197" s="1" t="s">
        <v>54</v>
      </c>
      <c r="E197" s="1" t="s">
        <v>15</v>
      </c>
      <c r="F197" s="1">
        <v>5</v>
      </c>
      <c r="G197" s="1">
        <v>3900</v>
      </c>
      <c r="H197" s="1">
        <v>2700</v>
      </c>
      <c r="I197" s="1">
        <v>0.15</v>
      </c>
      <c r="J197" s="8" t="str">
        <f>IF(OR(tblSalesClean[[#This Row],[Quantity]]="",tblSalesClean[[#This Row],[Discount_Pct]]=""),"Incomplete","Complete")</f>
        <v>Complete</v>
      </c>
      <c r="K197" s="30">
        <f>IF(OR(tblSalesClean[[#This Row],[Quantity]]="",tblSalesClean[[#This Row],[Unit_Price_ZAR]]=""),"",tblSalesClean[[#This Row],[Quantity]]*tblSalesClean[[#This Row],[Unit_Price_ZAR]])</f>
        <v>19500</v>
      </c>
      <c r="L197" s="30">
        <f>IF(OR(tblSalesClean[[#This Row],[Gross_Revenue_ZAR]]="",tblSalesClean[[#This Row],[Discount_Pct]]=""),"",tblSalesClean[[#This Row],[Gross_Revenue_ZAR]]*(1-tblSalesClean[[#This Row],[Discount_Pct]]))</f>
        <v>16575</v>
      </c>
      <c r="M197" s="30">
        <f>IF(OR(tblSalesClean[[#This Row],[Net_Revenue_ZAR]]="",tblSalesClean[[#This Row],[Quantity]]="",tblSalesClean[[#This Row],[Unit_Cost_ZAR]]=""),"",tblSalesClean[[#This Row],[Net_Revenue_ZAR]]-(tblSalesClean[[#This Row],[Quantity]]*tblSalesClean[[#This Row],[Unit_Cost_ZAR]]))</f>
        <v>3075</v>
      </c>
    </row>
    <row r="198" spans="1:13" ht="13.5" x14ac:dyDescent="0.25">
      <c r="A198" s="1" t="s">
        <v>223</v>
      </c>
      <c r="B198" s="3">
        <v>45698</v>
      </c>
      <c r="C198" s="1" t="s">
        <v>10</v>
      </c>
      <c r="D198" s="1" t="s">
        <v>14</v>
      </c>
      <c r="E198" s="1" t="s">
        <v>15</v>
      </c>
      <c r="F198" s="1">
        <v>6</v>
      </c>
      <c r="G198" s="1">
        <v>2100</v>
      </c>
      <c r="H198" s="1">
        <v>1350</v>
      </c>
      <c r="I198" s="1">
        <v>0.05</v>
      </c>
      <c r="J198" s="8" t="str">
        <f>IF(OR(tblSalesClean[[#This Row],[Quantity]]="",tblSalesClean[[#This Row],[Discount_Pct]]=""),"Incomplete","Complete")</f>
        <v>Complete</v>
      </c>
      <c r="K198" s="30">
        <f>IF(OR(tblSalesClean[[#This Row],[Quantity]]="",tblSalesClean[[#This Row],[Unit_Price_ZAR]]=""),"",tblSalesClean[[#This Row],[Quantity]]*tblSalesClean[[#This Row],[Unit_Price_ZAR]])</f>
        <v>12600</v>
      </c>
      <c r="L198" s="30">
        <f>IF(OR(tblSalesClean[[#This Row],[Gross_Revenue_ZAR]]="",tblSalesClean[[#This Row],[Discount_Pct]]=""),"",tblSalesClean[[#This Row],[Gross_Revenue_ZAR]]*(1-tblSalesClean[[#This Row],[Discount_Pct]]))</f>
        <v>11970</v>
      </c>
      <c r="M198" s="30">
        <f>IF(OR(tblSalesClean[[#This Row],[Net_Revenue_ZAR]]="",tblSalesClean[[#This Row],[Quantity]]="",tblSalesClean[[#This Row],[Unit_Cost_ZAR]]=""),"",tblSalesClean[[#This Row],[Net_Revenue_ZAR]]-(tblSalesClean[[#This Row],[Quantity]]*tblSalesClean[[#This Row],[Unit_Cost_ZAR]]))</f>
        <v>3870</v>
      </c>
    </row>
    <row r="199" spans="1:13" ht="13.5" x14ac:dyDescent="0.25">
      <c r="A199" s="1" t="s">
        <v>224</v>
      </c>
      <c r="B199" s="3">
        <v>45789</v>
      </c>
      <c r="C199" s="1" t="s">
        <v>10</v>
      </c>
      <c r="D199" s="1" t="s">
        <v>25</v>
      </c>
      <c r="E199" s="1" t="s">
        <v>19</v>
      </c>
      <c r="F199" s="1">
        <v>6</v>
      </c>
      <c r="G199" s="1">
        <v>3400</v>
      </c>
      <c r="H199" s="1">
        <v>2300</v>
      </c>
      <c r="I199" s="1">
        <v>0</v>
      </c>
      <c r="J199" s="8" t="str">
        <f>IF(OR(tblSalesClean[[#This Row],[Quantity]]="",tblSalesClean[[#This Row],[Discount_Pct]]=""),"Incomplete","Complete")</f>
        <v>Complete</v>
      </c>
      <c r="K199" s="30">
        <f>IF(OR(tblSalesClean[[#This Row],[Quantity]]="",tblSalesClean[[#This Row],[Unit_Price_ZAR]]=""),"",tblSalesClean[[#This Row],[Quantity]]*tblSalesClean[[#This Row],[Unit_Price_ZAR]])</f>
        <v>20400</v>
      </c>
      <c r="L199" s="30">
        <f>IF(OR(tblSalesClean[[#This Row],[Gross_Revenue_ZAR]]="",tblSalesClean[[#This Row],[Discount_Pct]]=""),"",tblSalesClean[[#This Row],[Gross_Revenue_ZAR]]*(1-tblSalesClean[[#This Row],[Discount_Pct]]))</f>
        <v>20400</v>
      </c>
      <c r="M199" s="30">
        <f>IF(OR(tblSalesClean[[#This Row],[Net_Revenue_ZAR]]="",tblSalesClean[[#This Row],[Quantity]]="",tblSalesClean[[#This Row],[Unit_Cost_ZAR]]=""),"",tblSalesClean[[#This Row],[Net_Revenue_ZAR]]-(tblSalesClean[[#This Row],[Quantity]]*tblSalesClean[[#This Row],[Unit_Cost_ZAR]]))</f>
        <v>6600</v>
      </c>
    </row>
    <row r="200" spans="1:13" ht="13.5" x14ac:dyDescent="0.25">
      <c r="A200" s="1" t="s">
        <v>225</v>
      </c>
      <c r="B200" s="3">
        <v>46000</v>
      </c>
      <c r="C200" s="1" t="s">
        <v>17</v>
      </c>
      <c r="D200" s="1" t="s">
        <v>18</v>
      </c>
      <c r="E200" s="1" t="s">
        <v>19</v>
      </c>
      <c r="F200" s="1">
        <v>2</v>
      </c>
      <c r="G200" s="1">
        <v>12500</v>
      </c>
      <c r="H200" s="1">
        <v>9400</v>
      </c>
      <c r="I200" s="1">
        <v>0</v>
      </c>
      <c r="J200" s="8" t="str">
        <f>IF(OR(tblSalesClean[[#This Row],[Quantity]]="",tblSalesClean[[#This Row],[Discount_Pct]]=""),"Incomplete","Complete")</f>
        <v>Complete</v>
      </c>
      <c r="K200" s="30">
        <f>IF(OR(tblSalesClean[[#This Row],[Quantity]]="",tblSalesClean[[#This Row],[Unit_Price_ZAR]]=""),"",tblSalesClean[[#This Row],[Quantity]]*tblSalesClean[[#This Row],[Unit_Price_ZAR]])</f>
        <v>25000</v>
      </c>
      <c r="L200" s="30">
        <f>IF(OR(tblSalesClean[[#This Row],[Gross_Revenue_ZAR]]="",tblSalesClean[[#This Row],[Discount_Pct]]=""),"",tblSalesClean[[#This Row],[Gross_Revenue_ZAR]]*(1-tblSalesClean[[#This Row],[Discount_Pct]]))</f>
        <v>25000</v>
      </c>
      <c r="M200" s="30">
        <f>IF(OR(tblSalesClean[[#This Row],[Net_Revenue_ZAR]]="",tblSalesClean[[#This Row],[Quantity]]="",tblSalesClean[[#This Row],[Unit_Cost_ZAR]]=""),"",tblSalesClean[[#This Row],[Net_Revenue_ZAR]]-(tblSalesClean[[#This Row],[Quantity]]*tblSalesClean[[#This Row],[Unit_Cost_ZAR]]))</f>
        <v>6200</v>
      </c>
    </row>
    <row r="201" spans="1:13" ht="13.5" x14ac:dyDescent="0.25">
      <c r="A201" s="1" t="s">
        <v>226</v>
      </c>
      <c r="B201" s="3">
        <v>45785</v>
      </c>
      <c r="C201" s="1" t="s">
        <v>17</v>
      </c>
      <c r="D201" s="1" t="s">
        <v>18</v>
      </c>
      <c r="E201" s="1" t="s">
        <v>19</v>
      </c>
      <c r="F201" s="1">
        <v>5</v>
      </c>
      <c r="G201" s="1">
        <v>12500</v>
      </c>
      <c r="H201" s="1">
        <v>9400</v>
      </c>
      <c r="I201" s="1">
        <v>0.1</v>
      </c>
      <c r="J201" s="8" t="str">
        <f>IF(OR(tblSalesClean[[#This Row],[Quantity]]="",tblSalesClean[[#This Row],[Discount_Pct]]=""),"Incomplete","Complete")</f>
        <v>Complete</v>
      </c>
      <c r="K201" s="30">
        <f>IF(OR(tblSalesClean[[#This Row],[Quantity]]="",tblSalesClean[[#This Row],[Unit_Price_ZAR]]=""),"",tblSalesClean[[#This Row],[Quantity]]*tblSalesClean[[#This Row],[Unit_Price_ZAR]])</f>
        <v>62500</v>
      </c>
      <c r="L201" s="30">
        <f>IF(OR(tblSalesClean[[#This Row],[Gross_Revenue_ZAR]]="",tblSalesClean[[#This Row],[Discount_Pct]]=""),"",tblSalesClean[[#This Row],[Gross_Revenue_ZAR]]*(1-tblSalesClean[[#This Row],[Discount_Pct]]))</f>
        <v>56250</v>
      </c>
      <c r="M201" s="30">
        <f>IF(OR(tblSalesClean[[#This Row],[Net_Revenue_ZAR]]="",tblSalesClean[[#This Row],[Quantity]]="",tblSalesClean[[#This Row],[Unit_Cost_ZAR]]=""),"",tblSalesClean[[#This Row],[Net_Revenue_ZAR]]-(tblSalesClean[[#This Row],[Quantity]]*tblSalesClean[[#This Row],[Unit_Cost_ZAR]]))</f>
        <v>9250</v>
      </c>
    </row>
    <row r="202" spans="1:13" ht="13.5" x14ac:dyDescent="0.25">
      <c r="A202" s="1" t="s">
        <v>227</v>
      </c>
      <c r="B202" s="3">
        <v>45884</v>
      </c>
      <c r="C202" s="1" t="s">
        <v>27</v>
      </c>
      <c r="D202" s="1" t="s">
        <v>14</v>
      </c>
      <c r="E202" s="1" t="s">
        <v>15</v>
      </c>
      <c r="F202" s="1">
        <v>1</v>
      </c>
      <c r="G202" s="1">
        <v>2100</v>
      </c>
      <c r="H202" s="1">
        <v>1350</v>
      </c>
      <c r="I202" s="1">
        <v>0.15</v>
      </c>
      <c r="J202" s="8" t="str">
        <f>IF(OR(tblSalesClean[[#This Row],[Quantity]]="",tblSalesClean[[#This Row],[Discount_Pct]]=""),"Incomplete","Complete")</f>
        <v>Complete</v>
      </c>
      <c r="K202" s="30">
        <f>IF(OR(tblSalesClean[[#This Row],[Quantity]]="",tblSalesClean[[#This Row],[Unit_Price_ZAR]]=""),"",tblSalesClean[[#This Row],[Quantity]]*tblSalesClean[[#This Row],[Unit_Price_ZAR]])</f>
        <v>2100</v>
      </c>
      <c r="L202" s="30">
        <f>IF(OR(tblSalesClean[[#This Row],[Gross_Revenue_ZAR]]="",tblSalesClean[[#This Row],[Discount_Pct]]=""),"",tblSalesClean[[#This Row],[Gross_Revenue_ZAR]]*(1-tblSalesClean[[#This Row],[Discount_Pct]]))</f>
        <v>1785</v>
      </c>
      <c r="M202" s="30">
        <f>IF(OR(tblSalesClean[[#This Row],[Net_Revenue_ZAR]]="",tblSalesClean[[#This Row],[Quantity]]="",tblSalesClean[[#This Row],[Unit_Cost_ZAR]]=""),"",tblSalesClean[[#This Row],[Net_Revenue_ZAR]]-(tblSalesClean[[#This Row],[Quantity]]*tblSalesClean[[#This Row],[Unit_Cost_ZAR]]))</f>
        <v>435</v>
      </c>
    </row>
    <row r="203" spans="1:13" ht="13.5" x14ac:dyDescent="0.25">
      <c r="A203" s="1" t="s">
        <v>228</v>
      </c>
      <c r="B203" s="3">
        <v>45871</v>
      </c>
      <c r="C203" s="1" t="s">
        <v>10</v>
      </c>
      <c r="D203" s="1" t="s">
        <v>11</v>
      </c>
      <c r="E203" s="1" t="s">
        <v>12</v>
      </c>
      <c r="F203" s="1">
        <v>1</v>
      </c>
      <c r="G203" s="1">
        <v>1850</v>
      </c>
      <c r="H203" s="1">
        <v>1200</v>
      </c>
      <c r="I203" s="1">
        <v>0.1</v>
      </c>
      <c r="J203" s="8" t="str">
        <f>IF(OR(tblSalesClean[[#This Row],[Quantity]]="",tblSalesClean[[#This Row],[Discount_Pct]]=""),"Incomplete","Complete")</f>
        <v>Complete</v>
      </c>
      <c r="K203" s="30">
        <f>IF(OR(tblSalesClean[[#This Row],[Quantity]]="",tblSalesClean[[#This Row],[Unit_Price_ZAR]]=""),"",tblSalesClean[[#This Row],[Quantity]]*tblSalesClean[[#This Row],[Unit_Price_ZAR]])</f>
        <v>1850</v>
      </c>
      <c r="L203" s="30">
        <f>IF(OR(tblSalesClean[[#This Row],[Gross_Revenue_ZAR]]="",tblSalesClean[[#This Row],[Discount_Pct]]=""),"",tblSalesClean[[#This Row],[Gross_Revenue_ZAR]]*(1-tblSalesClean[[#This Row],[Discount_Pct]]))</f>
        <v>1665</v>
      </c>
      <c r="M203" s="30">
        <f>IF(OR(tblSalesClean[[#This Row],[Net_Revenue_ZAR]]="",tblSalesClean[[#This Row],[Quantity]]="",tblSalesClean[[#This Row],[Unit_Cost_ZAR]]=""),"",tblSalesClean[[#This Row],[Net_Revenue_ZAR]]-(tblSalesClean[[#This Row],[Quantity]]*tblSalesClean[[#This Row],[Unit_Cost_ZAR]]))</f>
        <v>465</v>
      </c>
    </row>
    <row r="204" spans="1:13" ht="13.5" x14ac:dyDescent="0.25">
      <c r="A204" s="1" t="s">
        <v>229</v>
      </c>
      <c r="B204" s="3">
        <v>45748</v>
      </c>
      <c r="C204" s="1" t="s">
        <v>10</v>
      </c>
      <c r="D204" s="1" t="s">
        <v>25</v>
      </c>
      <c r="E204" s="1" t="s">
        <v>19</v>
      </c>
      <c r="F204" s="1">
        <v>3</v>
      </c>
      <c r="G204" s="1">
        <v>3400</v>
      </c>
      <c r="H204" s="1">
        <v>2300</v>
      </c>
      <c r="I204" s="1">
        <v>0</v>
      </c>
      <c r="J204" s="8" t="str">
        <f>IF(OR(tblSalesClean[[#This Row],[Quantity]]="",tblSalesClean[[#This Row],[Discount_Pct]]=""),"Incomplete","Complete")</f>
        <v>Complete</v>
      </c>
      <c r="K204" s="30">
        <f>IF(OR(tblSalesClean[[#This Row],[Quantity]]="",tblSalesClean[[#This Row],[Unit_Price_ZAR]]=""),"",tblSalesClean[[#This Row],[Quantity]]*tblSalesClean[[#This Row],[Unit_Price_ZAR]])</f>
        <v>10200</v>
      </c>
      <c r="L204" s="30">
        <f>IF(OR(tblSalesClean[[#This Row],[Gross_Revenue_ZAR]]="",tblSalesClean[[#This Row],[Discount_Pct]]=""),"",tblSalesClean[[#This Row],[Gross_Revenue_ZAR]]*(1-tblSalesClean[[#This Row],[Discount_Pct]]))</f>
        <v>10200</v>
      </c>
      <c r="M204" s="30">
        <f>IF(OR(tblSalesClean[[#This Row],[Net_Revenue_ZAR]]="",tblSalesClean[[#This Row],[Quantity]]="",tblSalesClean[[#This Row],[Unit_Cost_ZAR]]=""),"",tblSalesClean[[#This Row],[Net_Revenue_ZAR]]-(tblSalesClean[[#This Row],[Quantity]]*tblSalesClean[[#This Row],[Unit_Cost_ZAR]]))</f>
        <v>3300</v>
      </c>
    </row>
    <row r="205" spans="1:13" ht="13.5" x14ac:dyDescent="0.25">
      <c r="A205" s="1" t="s">
        <v>230</v>
      </c>
      <c r="B205" s="3">
        <v>45803</v>
      </c>
      <c r="C205" s="1" t="s">
        <v>21</v>
      </c>
      <c r="D205" s="1" t="s">
        <v>63</v>
      </c>
      <c r="E205" s="1" t="s">
        <v>12</v>
      </c>
      <c r="F205" s="1">
        <v>2</v>
      </c>
      <c r="G205" s="1">
        <v>520</v>
      </c>
      <c r="H205" s="1">
        <v>290</v>
      </c>
      <c r="I205" s="1">
        <v>0</v>
      </c>
      <c r="J205" s="8" t="str">
        <f>IF(OR(tblSalesClean[[#This Row],[Quantity]]="",tblSalesClean[[#This Row],[Discount_Pct]]=""),"Incomplete","Complete")</f>
        <v>Complete</v>
      </c>
      <c r="K205" s="30">
        <f>IF(OR(tblSalesClean[[#This Row],[Quantity]]="",tblSalesClean[[#This Row],[Unit_Price_ZAR]]=""),"",tblSalesClean[[#This Row],[Quantity]]*tblSalesClean[[#This Row],[Unit_Price_ZAR]])</f>
        <v>1040</v>
      </c>
      <c r="L205" s="30">
        <f>IF(OR(tblSalesClean[[#This Row],[Gross_Revenue_ZAR]]="",tblSalesClean[[#This Row],[Discount_Pct]]=""),"",tblSalesClean[[#This Row],[Gross_Revenue_ZAR]]*(1-tblSalesClean[[#This Row],[Discount_Pct]]))</f>
        <v>1040</v>
      </c>
      <c r="M205" s="30">
        <f>IF(OR(tblSalesClean[[#This Row],[Net_Revenue_ZAR]]="",tblSalesClean[[#This Row],[Quantity]]="",tblSalesClean[[#This Row],[Unit_Cost_ZAR]]=""),"",tblSalesClean[[#This Row],[Net_Revenue_ZAR]]-(tblSalesClean[[#This Row],[Quantity]]*tblSalesClean[[#This Row],[Unit_Cost_ZAR]]))</f>
        <v>460</v>
      </c>
    </row>
    <row r="206" spans="1:13" ht="13.5" x14ac:dyDescent="0.25">
      <c r="A206" s="1" t="s">
        <v>231</v>
      </c>
      <c r="B206" s="3">
        <v>45687</v>
      </c>
      <c r="C206" s="1" t="s">
        <v>27</v>
      </c>
      <c r="D206" s="1" t="s">
        <v>11</v>
      </c>
      <c r="E206" s="1" t="s">
        <v>12</v>
      </c>
      <c r="F206" s="1">
        <v>1</v>
      </c>
      <c r="G206" s="1">
        <v>1850</v>
      </c>
      <c r="H206" s="1">
        <v>1200</v>
      </c>
      <c r="I206" s="1">
        <v>0.05</v>
      </c>
      <c r="J206" s="8" t="str">
        <f>IF(OR(tblSalesClean[[#This Row],[Quantity]]="",tblSalesClean[[#This Row],[Discount_Pct]]=""),"Incomplete","Complete")</f>
        <v>Complete</v>
      </c>
      <c r="K206" s="30">
        <f>IF(OR(tblSalesClean[[#This Row],[Quantity]]="",tblSalesClean[[#This Row],[Unit_Price_ZAR]]=""),"",tblSalesClean[[#This Row],[Quantity]]*tblSalesClean[[#This Row],[Unit_Price_ZAR]])</f>
        <v>1850</v>
      </c>
      <c r="L206" s="30">
        <f>IF(OR(tblSalesClean[[#This Row],[Gross_Revenue_ZAR]]="",tblSalesClean[[#This Row],[Discount_Pct]]=""),"",tblSalesClean[[#This Row],[Gross_Revenue_ZAR]]*(1-tblSalesClean[[#This Row],[Discount_Pct]]))</f>
        <v>1757.5</v>
      </c>
      <c r="M206" s="30">
        <f>IF(OR(tblSalesClean[[#This Row],[Net_Revenue_ZAR]]="",tblSalesClean[[#This Row],[Quantity]]="",tblSalesClean[[#This Row],[Unit_Cost_ZAR]]=""),"",tblSalesClean[[#This Row],[Net_Revenue_ZAR]]-(tblSalesClean[[#This Row],[Quantity]]*tblSalesClean[[#This Row],[Unit_Cost_ZAR]]))</f>
        <v>557.5</v>
      </c>
    </row>
    <row r="207" spans="1:13" ht="13.5" x14ac:dyDescent="0.25">
      <c r="A207" s="1" t="s">
        <v>232</v>
      </c>
      <c r="B207" s="3">
        <v>45824</v>
      </c>
      <c r="C207" s="1" t="s">
        <v>27</v>
      </c>
      <c r="D207" s="1" t="s">
        <v>54</v>
      </c>
      <c r="E207" s="1" t="s">
        <v>15</v>
      </c>
      <c r="F207" s="1">
        <v>3</v>
      </c>
      <c r="G207" s="1">
        <v>3900</v>
      </c>
      <c r="H207" s="1">
        <v>2700</v>
      </c>
      <c r="I207" s="1">
        <v>0.1</v>
      </c>
      <c r="J207" s="8" t="str">
        <f>IF(OR(tblSalesClean[[#This Row],[Quantity]]="",tblSalesClean[[#This Row],[Discount_Pct]]=""),"Incomplete","Complete")</f>
        <v>Complete</v>
      </c>
      <c r="K207" s="30">
        <f>IF(OR(tblSalesClean[[#This Row],[Quantity]]="",tblSalesClean[[#This Row],[Unit_Price_ZAR]]=""),"",tblSalesClean[[#This Row],[Quantity]]*tblSalesClean[[#This Row],[Unit_Price_ZAR]])</f>
        <v>11700</v>
      </c>
      <c r="L207" s="30">
        <f>IF(OR(tblSalesClean[[#This Row],[Gross_Revenue_ZAR]]="",tblSalesClean[[#This Row],[Discount_Pct]]=""),"",tblSalesClean[[#This Row],[Gross_Revenue_ZAR]]*(1-tblSalesClean[[#This Row],[Discount_Pct]]))</f>
        <v>10530</v>
      </c>
      <c r="M207" s="30">
        <f>IF(OR(tblSalesClean[[#This Row],[Net_Revenue_ZAR]]="",tblSalesClean[[#This Row],[Quantity]]="",tblSalesClean[[#This Row],[Unit_Cost_ZAR]]=""),"",tblSalesClean[[#This Row],[Net_Revenue_ZAR]]-(tblSalesClean[[#This Row],[Quantity]]*tblSalesClean[[#This Row],[Unit_Cost_ZAR]]))</f>
        <v>2430</v>
      </c>
    </row>
    <row r="208" spans="1:13" ht="13.5" x14ac:dyDescent="0.25">
      <c r="A208" s="1" t="s">
        <v>233</v>
      </c>
      <c r="B208" s="3">
        <v>45710</v>
      </c>
      <c r="C208" s="1" t="s">
        <v>17</v>
      </c>
      <c r="D208" s="1" t="s">
        <v>25</v>
      </c>
      <c r="E208" s="1" t="s">
        <v>19</v>
      </c>
      <c r="F208" s="1">
        <v>4</v>
      </c>
      <c r="G208" s="1">
        <v>3400</v>
      </c>
      <c r="H208" s="1">
        <v>2300</v>
      </c>
      <c r="I208" s="1">
        <v>0</v>
      </c>
      <c r="J208" s="8" t="str">
        <f>IF(OR(tblSalesClean[[#This Row],[Quantity]]="",tblSalesClean[[#This Row],[Discount_Pct]]=""),"Incomplete","Complete")</f>
        <v>Complete</v>
      </c>
      <c r="K208" s="30">
        <f>IF(OR(tblSalesClean[[#This Row],[Quantity]]="",tblSalesClean[[#This Row],[Unit_Price_ZAR]]=""),"",tblSalesClean[[#This Row],[Quantity]]*tblSalesClean[[#This Row],[Unit_Price_ZAR]])</f>
        <v>13600</v>
      </c>
      <c r="L208" s="30">
        <f>IF(OR(tblSalesClean[[#This Row],[Gross_Revenue_ZAR]]="",tblSalesClean[[#This Row],[Discount_Pct]]=""),"",tblSalesClean[[#This Row],[Gross_Revenue_ZAR]]*(1-tblSalesClean[[#This Row],[Discount_Pct]]))</f>
        <v>13600</v>
      </c>
      <c r="M208" s="30">
        <f>IF(OR(tblSalesClean[[#This Row],[Net_Revenue_ZAR]]="",tblSalesClean[[#This Row],[Quantity]]="",tblSalesClean[[#This Row],[Unit_Cost_ZAR]]=""),"",tblSalesClean[[#This Row],[Net_Revenue_ZAR]]-(tblSalesClean[[#This Row],[Quantity]]*tblSalesClean[[#This Row],[Unit_Cost_ZAR]]))</f>
        <v>4400</v>
      </c>
    </row>
    <row r="209" spans="1:13" ht="13.5" x14ac:dyDescent="0.25">
      <c r="A209" s="1" t="s">
        <v>234</v>
      </c>
      <c r="B209" s="3">
        <v>46010</v>
      </c>
      <c r="C209" s="1" t="s">
        <v>17</v>
      </c>
      <c r="D209" s="1" t="s">
        <v>18</v>
      </c>
      <c r="E209" s="1" t="s">
        <v>19</v>
      </c>
      <c r="F209" s="1">
        <v>1</v>
      </c>
      <c r="G209" s="1">
        <v>12500</v>
      </c>
      <c r="H209" s="1">
        <v>9400</v>
      </c>
      <c r="I209" s="1">
        <v>0.05</v>
      </c>
      <c r="J209" s="8" t="str">
        <f>IF(OR(tblSalesClean[[#This Row],[Quantity]]="",tblSalesClean[[#This Row],[Discount_Pct]]=""),"Incomplete","Complete")</f>
        <v>Complete</v>
      </c>
      <c r="K209" s="30">
        <f>IF(OR(tblSalesClean[[#This Row],[Quantity]]="",tblSalesClean[[#This Row],[Unit_Price_ZAR]]=""),"",tblSalesClean[[#This Row],[Quantity]]*tblSalesClean[[#This Row],[Unit_Price_ZAR]])</f>
        <v>12500</v>
      </c>
      <c r="L209" s="30">
        <f>IF(OR(tblSalesClean[[#This Row],[Gross_Revenue_ZAR]]="",tblSalesClean[[#This Row],[Discount_Pct]]=""),"",tblSalesClean[[#This Row],[Gross_Revenue_ZAR]]*(1-tblSalesClean[[#This Row],[Discount_Pct]]))</f>
        <v>11875</v>
      </c>
      <c r="M209" s="30">
        <f>IF(OR(tblSalesClean[[#This Row],[Net_Revenue_ZAR]]="",tblSalesClean[[#This Row],[Quantity]]="",tblSalesClean[[#This Row],[Unit_Cost_ZAR]]=""),"",tblSalesClean[[#This Row],[Net_Revenue_ZAR]]-(tblSalesClean[[#This Row],[Quantity]]*tblSalesClean[[#This Row],[Unit_Cost_ZAR]]))</f>
        <v>2475</v>
      </c>
    </row>
    <row r="210" spans="1:13" ht="13.5" x14ac:dyDescent="0.25">
      <c r="A210" s="1" t="s">
        <v>235</v>
      </c>
      <c r="B210" s="3">
        <v>45717</v>
      </c>
      <c r="C210" s="1" t="s">
        <v>17</v>
      </c>
      <c r="D210" s="1" t="s">
        <v>54</v>
      </c>
      <c r="E210" s="1" t="s">
        <v>15</v>
      </c>
      <c r="F210" s="1">
        <v>2</v>
      </c>
      <c r="G210" s="1">
        <v>3900</v>
      </c>
      <c r="H210" s="1">
        <v>2700</v>
      </c>
      <c r="I210" s="1">
        <v>0</v>
      </c>
      <c r="J210" s="8" t="str">
        <f>IF(OR(tblSalesClean[[#This Row],[Quantity]]="",tblSalesClean[[#This Row],[Discount_Pct]]=""),"Incomplete","Complete")</f>
        <v>Complete</v>
      </c>
      <c r="K210" s="30">
        <f>IF(OR(tblSalesClean[[#This Row],[Quantity]]="",tblSalesClean[[#This Row],[Unit_Price_ZAR]]=""),"",tblSalesClean[[#This Row],[Quantity]]*tblSalesClean[[#This Row],[Unit_Price_ZAR]])</f>
        <v>7800</v>
      </c>
      <c r="L210" s="30">
        <f>IF(OR(tblSalesClean[[#This Row],[Gross_Revenue_ZAR]]="",tblSalesClean[[#This Row],[Discount_Pct]]=""),"",tblSalesClean[[#This Row],[Gross_Revenue_ZAR]]*(1-tblSalesClean[[#This Row],[Discount_Pct]]))</f>
        <v>7800</v>
      </c>
      <c r="M210" s="30">
        <f>IF(OR(tblSalesClean[[#This Row],[Net_Revenue_ZAR]]="",tblSalesClean[[#This Row],[Quantity]]="",tblSalesClean[[#This Row],[Unit_Cost_ZAR]]=""),"",tblSalesClean[[#This Row],[Net_Revenue_ZAR]]-(tblSalesClean[[#This Row],[Quantity]]*tblSalesClean[[#This Row],[Unit_Cost_ZAR]]))</f>
        <v>2400</v>
      </c>
    </row>
    <row r="211" spans="1:13" ht="13.5" x14ac:dyDescent="0.25">
      <c r="A211" s="1" t="s">
        <v>236</v>
      </c>
      <c r="B211" s="3">
        <v>45680</v>
      </c>
      <c r="C211" s="1" t="s">
        <v>10</v>
      </c>
      <c r="D211" s="1" t="s">
        <v>14</v>
      </c>
      <c r="E211" s="1" t="s">
        <v>15</v>
      </c>
      <c r="F211" s="1">
        <v>4</v>
      </c>
      <c r="G211" s="1">
        <v>2100</v>
      </c>
      <c r="H211" s="1">
        <v>1350</v>
      </c>
      <c r="I211" s="1">
        <v>0.05</v>
      </c>
      <c r="J211" s="8" t="str">
        <f>IF(OR(tblSalesClean[[#This Row],[Quantity]]="",tblSalesClean[[#This Row],[Discount_Pct]]=""),"Incomplete","Complete")</f>
        <v>Complete</v>
      </c>
      <c r="K211" s="30">
        <f>IF(OR(tblSalesClean[[#This Row],[Quantity]]="",tblSalesClean[[#This Row],[Unit_Price_ZAR]]=""),"",tblSalesClean[[#This Row],[Quantity]]*tblSalesClean[[#This Row],[Unit_Price_ZAR]])</f>
        <v>8400</v>
      </c>
      <c r="L211" s="30">
        <f>IF(OR(tblSalesClean[[#This Row],[Gross_Revenue_ZAR]]="",tblSalesClean[[#This Row],[Discount_Pct]]=""),"",tblSalesClean[[#This Row],[Gross_Revenue_ZAR]]*(1-tblSalesClean[[#This Row],[Discount_Pct]]))</f>
        <v>7980</v>
      </c>
      <c r="M211" s="30">
        <f>IF(OR(tblSalesClean[[#This Row],[Net_Revenue_ZAR]]="",tblSalesClean[[#This Row],[Quantity]]="",tblSalesClean[[#This Row],[Unit_Cost_ZAR]]=""),"",tblSalesClean[[#This Row],[Net_Revenue_ZAR]]-(tblSalesClean[[#This Row],[Quantity]]*tblSalesClean[[#This Row],[Unit_Cost_ZAR]]))</f>
        <v>2580</v>
      </c>
    </row>
    <row r="212" spans="1:13" ht="13.5" x14ac:dyDescent="0.25">
      <c r="A212" s="1" t="s">
        <v>237</v>
      </c>
      <c r="B212" s="3">
        <v>45725</v>
      </c>
      <c r="C212" s="1" t="s">
        <v>10</v>
      </c>
      <c r="D212" s="1" t="s">
        <v>18</v>
      </c>
      <c r="E212" s="1" t="s">
        <v>19</v>
      </c>
      <c r="F212" s="1">
        <v>5</v>
      </c>
      <c r="G212" s="1">
        <v>12500</v>
      </c>
      <c r="H212" s="1">
        <v>9400</v>
      </c>
      <c r="I212" s="1">
        <v>0</v>
      </c>
      <c r="J212" s="8" t="str">
        <f>IF(OR(tblSalesClean[[#This Row],[Quantity]]="",tblSalesClean[[#This Row],[Discount_Pct]]=""),"Incomplete","Complete")</f>
        <v>Complete</v>
      </c>
      <c r="K212" s="30">
        <f>IF(OR(tblSalesClean[[#This Row],[Quantity]]="",tblSalesClean[[#This Row],[Unit_Price_ZAR]]=""),"",tblSalesClean[[#This Row],[Quantity]]*tblSalesClean[[#This Row],[Unit_Price_ZAR]])</f>
        <v>62500</v>
      </c>
      <c r="L212" s="30">
        <f>IF(OR(tblSalesClean[[#This Row],[Gross_Revenue_ZAR]]="",tblSalesClean[[#This Row],[Discount_Pct]]=""),"",tblSalesClean[[#This Row],[Gross_Revenue_ZAR]]*(1-tblSalesClean[[#This Row],[Discount_Pct]]))</f>
        <v>62500</v>
      </c>
      <c r="M212" s="30">
        <f>IF(OR(tblSalesClean[[#This Row],[Net_Revenue_ZAR]]="",tblSalesClean[[#This Row],[Quantity]]="",tblSalesClean[[#This Row],[Unit_Cost_ZAR]]=""),"",tblSalesClean[[#This Row],[Net_Revenue_ZAR]]-(tblSalesClean[[#This Row],[Quantity]]*tblSalesClean[[#This Row],[Unit_Cost_ZAR]]))</f>
        <v>15500</v>
      </c>
    </row>
    <row r="213" spans="1:13" ht="13.5" x14ac:dyDescent="0.25">
      <c r="A213" s="1" t="s">
        <v>238</v>
      </c>
      <c r="B213" s="3">
        <v>45713</v>
      </c>
      <c r="C213" s="1" t="s">
        <v>10</v>
      </c>
      <c r="D213" s="1" t="s">
        <v>22</v>
      </c>
      <c r="E213" s="1" t="s">
        <v>19</v>
      </c>
      <c r="F213" s="1">
        <v>3</v>
      </c>
      <c r="G213" s="1">
        <v>650</v>
      </c>
      <c r="H213" s="1">
        <v>340</v>
      </c>
      <c r="I213" s="1">
        <v>0</v>
      </c>
      <c r="J213" s="8" t="str">
        <f>IF(OR(tblSalesClean[[#This Row],[Quantity]]="",tblSalesClean[[#This Row],[Discount_Pct]]=""),"Incomplete","Complete")</f>
        <v>Complete</v>
      </c>
      <c r="K213" s="30">
        <f>IF(OR(tblSalesClean[[#This Row],[Quantity]]="",tblSalesClean[[#This Row],[Unit_Price_ZAR]]=""),"",tblSalesClean[[#This Row],[Quantity]]*tblSalesClean[[#This Row],[Unit_Price_ZAR]])</f>
        <v>1950</v>
      </c>
      <c r="L213" s="30">
        <f>IF(OR(tblSalesClean[[#This Row],[Gross_Revenue_ZAR]]="",tblSalesClean[[#This Row],[Discount_Pct]]=""),"",tblSalesClean[[#This Row],[Gross_Revenue_ZAR]]*(1-tblSalesClean[[#This Row],[Discount_Pct]]))</f>
        <v>1950</v>
      </c>
      <c r="M213" s="30">
        <f>IF(OR(tblSalesClean[[#This Row],[Net_Revenue_ZAR]]="",tblSalesClean[[#This Row],[Quantity]]="",tblSalesClean[[#This Row],[Unit_Cost_ZAR]]=""),"",tblSalesClean[[#This Row],[Net_Revenue_ZAR]]-(tblSalesClean[[#This Row],[Quantity]]*tblSalesClean[[#This Row],[Unit_Cost_ZAR]]))</f>
        <v>930</v>
      </c>
    </row>
    <row r="214" spans="1:13" ht="13.5" x14ac:dyDescent="0.25">
      <c r="A214" s="1" t="s">
        <v>239</v>
      </c>
      <c r="B214" s="3">
        <v>45942</v>
      </c>
      <c r="C214" s="1" t="s">
        <v>10</v>
      </c>
      <c r="D214" s="1" t="s">
        <v>44</v>
      </c>
      <c r="E214" s="1" t="s">
        <v>12</v>
      </c>
      <c r="F214" s="1">
        <v>1</v>
      </c>
      <c r="G214" s="1">
        <v>1100</v>
      </c>
      <c r="H214" s="1">
        <v>650</v>
      </c>
      <c r="I214" s="1">
        <v>0.1</v>
      </c>
      <c r="J214" s="8" t="str">
        <f>IF(OR(tblSalesClean[[#This Row],[Quantity]]="",tblSalesClean[[#This Row],[Discount_Pct]]=""),"Incomplete","Complete")</f>
        <v>Complete</v>
      </c>
      <c r="K214" s="30">
        <f>IF(OR(tblSalesClean[[#This Row],[Quantity]]="",tblSalesClean[[#This Row],[Unit_Price_ZAR]]=""),"",tblSalesClean[[#This Row],[Quantity]]*tblSalesClean[[#This Row],[Unit_Price_ZAR]])</f>
        <v>1100</v>
      </c>
      <c r="L214" s="30">
        <f>IF(OR(tblSalesClean[[#This Row],[Gross_Revenue_ZAR]]="",tblSalesClean[[#This Row],[Discount_Pct]]=""),"",tblSalesClean[[#This Row],[Gross_Revenue_ZAR]]*(1-tblSalesClean[[#This Row],[Discount_Pct]]))</f>
        <v>990</v>
      </c>
      <c r="M214" s="30">
        <f>IF(OR(tblSalesClean[[#This Row],[Net_Revenue_ZAR]]="",tblSalesClean[[#This Row],[Quantity]]="",tblSalesClean[[#This Row],[Unit_Cost_ZAR]]=""),"",tblSalesClean[[#This Row],[Net_Revenue_ZAR]]-(tblSalesClean[[#This Row],[Quantity]]*tblSalesClean[[#This Row],[Unit_Cost_ZAR]]))</f>
        <v>340</v>
      </c>
    </row>
    <row r="215" spans="1:13" ht="13.5" x14ac:dyDescent="0.25">
      <c r="A215" s="1" t="s">
        <v>240</v>
      </c>
      <c r="B215" s="3">
        <v>45943</v>
      </c>
      <c r="C215" s="1" t="s">
        <v>10</v>
      </c>
      <c r="D215" s="1" t="s">
        <v>22</v>
      </c>
      <c r="E215" s="1" t="s">
        <v>19</v>
      </c>
      <c r="F215" s="1">
        <v>6</v>
      </c>
      <c r="G215" s="1">
        <v>650</v>
      </c>
      <c r="H215" s="1">
        <v>340</v>
      </c>
      <c r="I215" s="1">
        <v>0.1</v>
      </c>
      <c r="J215" s="8" t="str">
        <f>IF(OR(tblSalesClean[[#This Row],[Quantity]]="",tblSalesClean[[#This Row],[Discount_Pct]]=""),"Incomplete","Complete")</f>
        <v>Complete</v>
      </c>
      <c r="K215" s="30">
        <f>IF(OR(tblSalesClean[[#This Row],[Quantity]]="",tblSalesClean[[#This Row],[Unit_Price_ZAR]]=""),"",tblSalesClean[[#This Row],[Quantity]]*tblSalesClean[[#This Row],[Unit_Price_ZAR]])</f>
        <v>3900</v>
      </c>
      <c r="L215" s="30">
        <f>IF(OR(tblSalesClean[[#This Row],[Gross_Revenue_ZAR]]="",tblSalesClean[[#This Row],[Discount_Pct]]=""),"",tblSalesClean[[#This Row],[Gross_Revenue_ZAR]]*(1-tblSalesClean[[#This Row],[Discount_Pct]]))</f>
        <v>3510</v>
      </c>
      <c r="M215" s="30">
        <f>IF(OR(tblSalesClean[[#This Row],[Net_Revenue_ZAR]]="",tblSalesClean[[#This Row],[Quantity]]="",tblSalesClean[[#This Row],[Unit_Cost_ZAR]]=""),"",tblSalesClean[[#This Row],[Net_Revenue_ZAR]]-(tblSalesClean[[#This Row],[Quantity]]*tblSalesClean[[#This Row],[Unit_Cost_ZAR]]))</f>
        <v>1470</v>
      </c>
    </row>
    <row r="216" spans="1:13" ht="13.5" x14ac:dyDescent="0.25">
      <c r="A216" s="1" t="s">
        <v>241</v>
      </c>
      <c r="B216" s="3">
        <v>45831</v>
      </c>
      <c r="C216" s="8" t="s">
        <v>17</v>
      </c>
      <c r="D216" s="1" t="s">
        <v>25</v>
      </c>
      <c r="E216" s="1" t="s">
        <v>19</v>
      </c>
      <c r="F216" s="1">
        <v>2</v>
      </c>
      <c r="G216" s="1">
        <v>3400</v>
      </c>
      <c r="H216" s="1">
        <v>2300</v>
      </c>
      <c r="I216" s="1">
        <v>0</v>
      </c>
      <c r="J216" s="8" t="str">
        <f>IF(OR(tblSalesClean[[#This Row],[Quantity]]="",tblSalesClean[[#This Row],[Discount_Pct]]=""),"Incomplete","Complete")</f>
        <v>Complete</v>
      </c>
      <c r="K216" s="30">
        <f>IF(OR(tblSalesClean[[#This Row],[Quantity]]="",tblSalesClean[[#This Row],[Unit_Price_ZAR]]=""),"",tblSalesClean[[#This Row],[Quantity]]*tblSalesClean[[#This Row],[Unit_Price_ZAR]])</f>
        <v>6800</v>
      </c>
      <c r="L216" s="30">
        <f>IF(OR(tblSalesClean[[#This Row],[Gross_Revenue_ZAR]]="",tblSalesClean[[#This Row],[Discount_Pct]]=""),"",tblSalesClean[[#This Row],[Gross_Revenue_ZAR]]*(1-tblSalesClean[[#This Row],[Discount_Pct]]))</f>
        <v>6800</v>
      </c>
      <c r="M216" s="30">
        <f>IF(OR(tblSalesClean[[#This Row],[Net_Revenue_ZAR]]="",tblSalesClean[[#This Row],[Quantity]]="",tblSalesClean[[#This Row],[Unit_Cost_ZAR]]=""),"",tblSalesClean[[#This Row],[Net_Revenue_ZAR]]-(tblSalesClean[[#This Row],[Quantity]]*tblSalesClean[[#This Row],[Unit_Cost_ZAR]]))</f>
        <v>2200</v>
      </c>
    </row>
    <row r="217" spans="1:13" ht="13.5" x14ac:dyDescent="0.25">
      <c r="A217" s="1" t="s">
        <v>243</v>
      </c>
      <c r="B217" s="3">
        <v>45971</v>
      </c>
      <c r="C217" s="1" t="s">
        <v>10</v>
      </c>
      <c r="D217" s="1" t="s">
        <v>28</v>
      </c>
      <c r="E217" s="1" t="s">
        <v>15</v>
      </c>
      <c r="F217" s="1">
        <v>2</v>
      </c>
      <c r="G217" s="1">
        <v>2800</v>
      </c>
      <c r="H217" s="1">
        <v>1900</v>
      </c>
      <c r="I217" s="1">
        <v>0.1</v>
      </c>
      <c r="J217" s="8" t="str">
        <f>IF(OR(tblSalesClean[[#This Row],[Quantity]]="",tblSalesClean[[#This Row],[Discount_Pct]]=""),"Incomplete","Complete")</f>
        <v>Complete</v>
      </c>
      <c r="K217" s="30">
        <f>IF(OR(tblSalesClean[[#This Row],[Quantity]]="",tblSalesClean[[#This Row],[Unit_Price_ZAR]]=""),"",tblSalesClean[[#This Row],[Quantity]]*tblSalesClean[[#This Row],[Unit_Price_ZAR]])</f>
        <v>5600</v>
      </c>
      <c r="L217" s="30">
        <f>IF(OR(tblSalesClean[[#This Row],[Gross_Revenue_ZAR]]="",tblSalesClean[[#This Row],[Discount_Pct]]=""),"",tblSalesClean[[#This Row],[Gross_Revenue_ZAR]]*(1-tblSalesClean[[#This Row],[Discount_Pct]]))</f>
        <v>5040</v>
      </c>
      <c r="M217" s="30">
        <f>IF(OR(tblSalesClean[[#This Row],[Net_Revenue_ZAR]]="",tblSalesClean[[#This Row],[Quantity]]="",tblSalesClean[[#This Row],[Unit_Cost_ZAR]]=""),"",tblSalesClean[[#This Row],[Net_Revenue_ZAR]]-(tblSalesClean[[#This Row],[Quantity]]*tblSalesClean[[#This Row],[Unit_Cost_ZAR]]))</f>
        <v>1240</v>
      </c>
    </row>
    <row r="218" spans="1:13" ht="13.5" x14ac:dyDescent="0.25">
      <c r="A218" s="1" t="s">
        <v>244</v>
      </c>
      <c r="B218" s="3">
        <v>45827</v>
      </c>
      <c r="C218" s="1" t="s">
        <v>27</v>
      </c>
      <c r="D218" s="1" t="s">
        <v>44</v>
      </c>
      <c r="E218" s="1" t="s">
        <v>12</v>
      </c>
      <c r="F218" s="1">
        <v>2</v>
      </c>
      <c r="G218" s="1">
        <v>1100</v>
      </c>
      <c r="H218" s="1">
        <v>650</v>
      </c>
      <c r="I218" s="1">
        <v>0.05</v>
      </c>
      <c r="J218" s="8" t="str">
        <f>IF(OR(tblSalesClean[[#This Row],[Quantity]]="",tblSalesClean[[#This Row],[Discount_Pct]]=""),"Incomplete","Complete")</f>
        <v>Complete</v>
      </c>
      <c r="K218" s="30">
        <f>IF(OR(tblSalesClean[[#This Row],[Quantity]]="",tblSalesClean[[#This Row],[Unit_Price_ZAR]]=""),"",tblSalesClean[[#This Row],[Quantity]]*tblSalesClean[[#This Row],[Unit_Price_ZAR]])</f>
        <v>2200</v>
      </c>
      <c r="L218" s="30">
        <f>IF(OR(tblSalesClean[[#This Row],[Gross_Revenue_ZAR]]="",tblSalesClean[[#This Row],[Discount_Pct]]=""),"",tblSalesClean[[#This Row],[Gross_Revenue_ZAR]]*(1-tblSalesClean[[#This Row],[Discount_Pct]]))</f>
        <v>2090</v>
      </c>
      <c r="M218" s="30">
        <f>IF(OR(tblSalesClean[[#This Row],[Net_Revenue_ZAR]]="",tblSalesClean[[#This Row],[Quantity]]="",tblSalesClean[[#This Row],[Unit_Cost_ZAR]]=""),"",tblSalesClean[[#This Row],[Net_Revenue_ZAR]]-(tblSalesClean[[#This Row],[Quantity]]*tblSalesClean[[#This Row],[Unit_Cost_ZAR]]))</f>
        <v>790</v>
      </c>
    </row>
    <row r="219" spans="1:13" ht="13.5" x14ac:dyDescent="0.25">
      <c r="A219" s="1" t="s">
        <v>245</v>
      </c>
      <c r="B219" s="3">
        <v>45679</v>
      </c>
      <c r="C219" s="1" t="s">
        <v>27</v>
      </c>
      <c r="D219" s="1" t="s">
        <v>18</v>
      </c>
      <c r="E219" s="1" t="s">
        <v>19</v>
      </c>
      <c r="F219" s="1">
        <v>2</v>
      </c>
      <c r="G219" s="1">
        <v>12500</v>
      </c>
      <c r="H219" s="1">
        <v>9400</v>
      </c>
      <c r="I219" s="1">
        <v>0.15</v>
      </c>
      <c r="J219" s="8" t="str">
        <f>IF(OR(tblSalesClean[[#This Row],[Quantity]]="",tblSalesClean[[#This Row],[Discount_Pct]]=""),"Incomplete","Complete")</f>
        <v>Complete</v>
      </c>
      <c r="K219" s="30">
        <f>IF(OR(tblSalesClean[[#This Row],[Quantity]]="",tblSalesClean[[#This Row],[Unit_Price_ZAR]]=""),"",tblSalesClean[[#This Row],[Quantity]]*tblSalesClean[[#This Row],[Unit_Price_ZAR]])</f>
        <v>25000</v>
      </c>
      <c r="L219" s="30">
        <f>IF(OR(tblSalesClean[[#This Row],[Gross_Revenue_ZAR]]="",tblSalesClean[[#This Row],[Discount_Pct]]=""),"",tblSalesClean[[#This Row],[Gross_Revenue_ZAR]]*(1-tblSalesClean[[#This Row],[Discount_Pct]]))</f>
        <v>21250</v>
      </c>
      <c r="M219" s="30">
        <f>IF(OR(tblSalesClean[[#This Row],[Net_Revenue_ZAR]]="",tblSalesClean[[#This Row],[Quantity]]="",tblSalesClean[[#This Row],[Unit_Cost_ZAR]]=""),"",tblSalesClean[[#This Row],[Net_Revenue_ZAR]]-(tblSalesClean[[#This Row],[Quantity]]*tblSalesClean[[#This Row],[Unit_Cost_ZAR]]))</f>
        <v>2450</v>
      </c>
    </row>
    <row r="220" spans="1:13" ht="13.5" x14ac:dyDescent="0.25">
      <c r="A220" s="1" t="s">
        <v>246</v>
      </c>
      <c r="B220" s="3">
        <v>45934</v>
      </c>
      <c r="C220" s="1" t="s">
        <v>17</v>
      </c>
      <c r="D220" s="1" t="s">
        <v>25</v>
      </c>
      <c r="E220" s="1" t="s">
        <v>19</v>
      </c>
      <c r="F220" s="1">
        <v>5</v>
      </c>
      <c r="G220" s="1">
        <v>3400</v>
      </c>
      <c r="H220" s="1">
        <v>2300</v>
      </c>
      <c r="I220" s="1">
        <v>0.15</v>
      </c>
      <c r="J220" s="8" t="str">
        <f>IF(OR(tblSalesClean[[#This Row],[Quantity]]="",tblSalesClean[[#This Row],[Discount_Pct]]=""),"Incomplete","Complete")</f>
        <v>Complete</v>
      </c>
      <c r="K220" s="30">
        <f>IF(OR(tblSalesClean[[#This Row],[Quantity]]="",tblSalesClean[[#This Row],[Unit_Price_ZAR]]=""),"",tblSalesClean[[#This Row],[Quantity]]*tblSalesClean[[#This Row],[Unit_Price_ZAR]])</f>
        <v>17000</v>
      </c>
      <c r="L220" s="30">
        <f>IF(OR(tblSalesClean[[#This Row],[Gross_Revenue_ZAR]]="",tblSalesClean[[#This Row],[Discount_Pct]]=""),"",tblSalesClean[[#This Row],[Gross_Revenue_ZAR]]*(1-tblSalesClean[[#This Row],[Discount_Pct]]))</f>
        <v>14450</v>
      </c>
      <c r="M220" s="30">
        <f>IF(OR(tblSalesClean[[#This Row],[Net_Revenue_ZAR]]="",tblSalesClean[[#This Row],[Quantity]]="",tblSalesClean[[#This Row],[Unit_Cost_ZAR]]=""),"",tblSalesClean[[#This Row],[Net_Revenue_ZAR]]-(tblSalesClean[[#This Row],[Quantity]]*tblSalesClean[[#This Row],[Unit_Cost_ZAR]]))</f>
        <v>2950</v>
      </c>
    </row>
    <row r="221" spans="1:13" ht="13.5" x14ac:dyDescent="0.25">
      <c r="A221" s="1" t="s">
        <v>247</v>
      </c>
      <c r="B221" s="3">
        <v>45880</v>
      </c>
      <c r="C221" s="1" t="s">
        <v>27</v>
      </c>
      <c r="D221" s="1" t="s">
        <v>63</v>
      </c>
      <c r="E221" s="1" t="s">
        <v>12</v>
      </c>
      <c r="F221" s="1">
        <v>6</v>
      </c>
      <c r="G221" s="1">
        <v>520</v>
      </c>
      <c r="H221" s="1">
        <v>290</v>
      </c>
      <c r="I221" s="1">
        <v>0.05</v>
      </c>
      <c r="J221" s="8" t="str">
        <f>IF(OR(tblSalesClean[[#This Row],[Quantity]]="",tblSalesClean[[#This Row],[Discount_Pct]]=""),"Incomplete","Complete")</f>
        <v>Complete</v>
      </c>
      <c r="K221" s="30">
        <f>IF(OR(tblSalesClean[[#This Row],[Quantity]]="",tblSalesClean[[#This Row],[Unit_Price_ZAR]]=""),"",tblSalesClean[[#This Row],[Quantity]]*tblSalesClean[[#This Row],[Unit_Price_ZAR]])</f>
        <v>3120</v>
      </c>
      <c r="L221" s="30">
        <f>IF(OR(tblSalesClean[[#This Row],[Gross_Revenue_ZAR]]="",tblSalesClean[[#This Row],[Discount_Pct]]=""),"",tblSalesClean[[#This Row],[Gross_Revenue_ZAR]]*(1-tblSalesClean[[#This Row],[Discount_Pct]]))</f>
        <v>2964</v>
      </c>
      <c r="M221" s="30">
        <f>IF(OR(tblSalesClean[[#This Row],[Net_Revenue_ZAR]]="",tblSalesClean[[#This Row],[Quantity]]="",tblSalesClean[[#This Row],[Unit_Cost_ZAR]]=""),"",tblSalesClean[[#This Row],[Net_Revenue_ZAR]]-(tblSalesClean[[#This Row],[Quantity]]*tblSalesClean[[#This Row],[Unit_Cost_ZAR]]))</f>
        <v>1224</v>
      </c>
    </row>
    <row r="222" spans="1:13" ht="13.5" x14ac:dyDescent="0.25">
      <c r="A222" s="1" t="s">
        <v>248</v>
      </c>
      <c r="B222" s="3">
        <v>45994</v>
      </c>
      <c r="C222" s="1" t="s">
        <v>17</v>
      </c>
      <c r="D222" s="1" t="s">
        <v>28</v>
      </c>
      <c r="E222" s="1" t="s">
        <v>15</v>
      </c>
      <c r="F222" s="1">
        <v>4</v>
      </c>
      <c r="G222" s="1">
        <v>2800</v>
      </c>
      <c r="H222" s="1">
        <v>1900</v>
      </c>
      <c r="I222" s="1">
        <v>0.05</v>
      </c>
      <c r="J222" s="8" t="str">
        <f>IF(OR(tblSalesClean[[#This Row],[Quantity]]="",tblSalesClean[[#This Row],[Discount_Pct]]=""),"Incomplete","Complete")</f>
        <v>Complete</v>
      </c>
      <c r="K222" s="30">
        <f>IF(OR(tblSalesClean[[#This Row],[Quantity]]="",tblSalesClean[[#This Row],[Unit_Price_ZAR]]=""),"",tblSalesClean[[#This Row],[Quantity]]*tblSalesClean[[#This Row],[Unit_Price_ZAR]])</f>
        <v>11200</v>
      </c>
      <c r="L222" s="30">
        <f>IF(OR(tblSalesClean[[#This Row],[Gross_Revenue_ZAR]]="",tblSalesClean[[#This Row],[Discount_Pct]]=""),"",tblSalesClean[[#This Row],[Gross_Revenue_ZAR]]*(1-tblSalesClean[[#This Row],[Discount_Pct]]))</f>
        <v>10640</v>
      </c>
      <c r="M222" s="30">
        <f>IF(OR(tblSalesClean[[#This Row],[Net_Revenue_ZAR]]="",tblSalesClean[[#This Row],[Quantity]]="",tblSalesClean[[#This Row],[Unit_Cost_ZAR]]=""),"",tblSalesClean[[#This Row],[Net_Revenue_ZAR]]-(tblSalesClean[[#This Row],[Quantity]]*tblSalesClean[[#This Row],[Unit_Cost_ZAR]]))</f>
        <v>3040</v>
      </c>
    </row>
    <row r="223" spans="1:13" ht="13.5" x14ac:dyDescent="0.25">
      <c r="A223" s="1" t="s">
        <v>249</v>
      </c>
      <c r="B223" s="3">
        <v>45679</v>
      </c>
      <c r="C223" s="1" t="s">
        <v>10</v>
      </c>
      <c r="D223" s="1" t="s">
        <v>11</v>
      </c>
      <c r="E223" s="1" t="s">
        <v>12</v>
      </c>
      <c r="F223" s="1">
        <v>2</v>
      </c>
      <c r="G223" s="1">
        <v>1850</v>
      </c>
      <c r="H223" s="1">
        <v>1200</v>
      </c>
      <c r="I223" s="1">
        <v>0.1</v>
      </c>
      <c r="J223" s="8" t="str">
        <f>IF(OR(tblSalesClean[[#This Row],[Quantity]]="",tblSalesClean[[#This Row],[Discount_Pct]]=""),"Incomplete","Complete")</f>
        <v>Complete</v>
      </c>
      <c r="K223" s="30">
        <f>IF(OR(tblSalesClean[[#This Row],[Quantity]]="",tblSalesClean[[#This Row],[Unit_Price_ZAR]]=""),"",tblSalesClean[[#This Row],[Quantity]]*tblSalesClean[[#This Row],[Unit_Price_ZAR]])</f>
        <v>3700</v>
      </c>
      <c r="L223" s="30">
        <f>IF(OR(tblSalesClean[[#This Row],[Gross_Revenue_ZAR]]="",tblSalesClean[[#This Row],[Discount_Pct]]=""),"",tblSalesClean[[#This Row],[Gross_Revenue_ZAR]]*(1-tblSalesClean[[#This Row],[Discount_Pct]]))</f>
        <v>3330</v>
      </c>
      <c r="M223" s="30">
        <f>IF(OR(tblSalesClean[[#This Row],[Net_Revenue_ZAR]]="",tblSalesClean[[#This Row],[Quantity]]="",tblSalesClean[[#This Row],[Unit_Cost_ZAR]]=""),"",tblSalesClean[[#This Row],[Net_Revenue_ZAR]]-(tblSalesClean[[#This Row],[Quantity]]*tblSalesClean[[#This Row],[Unit_Cost_ZAR]]))</f>
        <v>930</v>
      </c>
    </row>
    <row r="224" spans="1:13" ht="13.5" x14ac:dyDescent="0.25">
      <c r="A224" s="1" t="s">
        <v>250</v>
      </c>
      <c r="B224" s="3">
        <v>45689</v>
      </c>
      <c r="C224" s="1" t="s">
        <v>10</v>
      </c>
      <c r="D224" s="1" t="s">
        <v>44</v>
      </c>
      <c r="E224" s="1" t="s">
        <v>12</v>
      </c>
      <c r="F224" s="1">
        <v>2</v>
      </c>
      <c r="G224" s="1">
        <v>1100</v>
      </c>
      <c r="H224" s="1">
        <v>650</v>
      </c>
      <c r="I224" s="1">
        <v>0.05</v>
      </c>
      <c r="J224" s="8" t="str">
        <f>IF(OR(tblSalesClean[[#This Row],[Quantity]]="",tblSalesClean[[#This Row],[Discount_Pct]]=""),"Incomplete","Complete")</f>
        <v>Complete</v>
      </c>
      <c r="K224" s="30">
        <f>IF(OR(tblSalesClean[[#This Row],[Quantity]]="",tblSalesClean[[#This Row],[Unit_Price_ZAR]]=""),"",tblSalesClean[[#This Row],[Quantity]]*tblSalesClean[[#This Row],[Unit_Price_ZAR]])</f>
        <v>2200</v>
      </c>
      <c r="L224" s="30">
        <f>IF(OR(tblSalesClean[[#This Row],[Gross_Revenue_ZAR]]="",tblSalesClean[[#This Row],[Discount_Pct]]=""),"",tblSalesClean[[#This Row],[Gross_Revenue_ZAR]]*(1-tblSalesClean[[#This Row],[Discount_Pct]]))</f>
        <v>2090</v>
      </c>
      <c r="M224" s="30">
        <f>IF(OR(tblSalesClean[[#This Row],[Net_Revenue_ZAR]]="",tblSalesClean[[#This Row],[Quantity]]="",tblSalesClean[[#This Row],[Unit_Cost_ZAR]]=""),"",tblSalesClean[[#This Row],[Net_Revenue_ZAR]]-(tblSalesClean[[#This Row],[Quantity]]*tblSalesClean[[#This Row],[Unit_Cost_ZAR]]))</f>
        <v>790</v>
      </c>
    </row>
    <row r="225" spans="1:13" ht="13.5" x14ac:dyDescent="0.25">
      <c r="A225" s="1" t="s">
        <v>251</v>
      </c>
      <c r="B225" s="3">
        <v>45893</v>
      </c>
      <c r="C225" s="1" t="s">
        <v>10</v>
      </c>
      <c r="D225" s="1" t="s">
        <v>63</v>
      </c>
      <c r="E225" s="1" t="s">
        <v>12</v>
      </c>
      <c r="F225" s="1">
        <v>3</v>
      </c>
      <c r="G225" s="1">
        <v>520</v>
      </c>
      <c r="H225" s="1">
        <v>290</v>
      </c>
      <c r="I225" s="1">
        <v>0.1</v>
      </c>
      <c r="J225" s="8" t="str">
        <f>IF(OR(tblSalesClean[[#This Row],[Quantity]]="",tblSalesClean[[#This Row],[Discount_Pct]]=""),"Incomplete","Complete")</f>
        <v>Complete</v>
      </c>
      <c r="K225" s="30">
        <f>IF(OR(tblSalesClean[[#This Row],[Quantity]]="",tblSalesClean[[#This Row],[Unit_Price_ZAR]]=""),"",tblSalesClean[[#This Row],[Quantity]]*tblSalesClean[[#This Row],[Unit_Price_ZAR]])</f>
        <v>1560</v>
      </c>
      <c r="L225" s="30">
        <f>IF(OR(tblSalesClean[[#This Row],[Gross_Revenue_ZAR]]="",tblSalesClean[[#This Row],[Discount_Pct]]=""),"",tblSalesClean[[#This Row],[Gross_Revenue_ZAR]]*(1-tblSalesClean[[#This Row],[Discount_Pct]]))</f>
        <v>1404</v>
      </c>
      <c r="M225" s="30">
        <f>IF(OR(tblSalesClean[[#This Row],[Net_Revenue_ZAR]]="",tblSalesClean[[#This Row],[Quantity]]="",tblSalesClean[[#This Row],[Unit_Cost_ZAR]]=""),"",tblSalesClean[[#This Row],[Net_Revenue_ZAR]]-(tblSalesClean[[#This Row],[Quantity]]*tblSalesClean[[#This Row],[Unit_Cost_ZAR]]))</f>
        <v>534</v>
      </c>
    </row>
    <row r="226" spans="1:13" ht="13.5" x14ac:dyDescent="0.25">
      <c r="A226" s="1" t="s">
        <v>252</v>
      </c>
      <c r="B226" s="3">
        <v>45741</v>
      </c>
      <c r="C226" s="1" t="s">
        <v>10</v>
      </c>
      <c r="D226" s="1" t="s">
        <v>25</v>
      </c>
      <c r="E226" s="1" t="s">
        <v>19</v>
      </c>
      <c r="F226" s="1">
        <v>4</v>
      </c>
      <c r="G226" s="1">
        <v>3400</v>
      </c>
      <c r="H226" s="1">
        <v>2300</v>
      </c>
      <c r="I226" s="1">
        <v>0</v>
      </c>
      <c r="J226" s="8" t="str">
        <f>IF(OR(tblSalesClean[[#This Row],[Quantity]]="",tblSalesClean[[#This Row],[Discount_Pct]]=""),"Incomplete","Complete")</f>
        <v>Complete</v>
      </c>
      <c r="K226" s="30">
        <f>IF(OR(tblSalesClean[[#This Row],[Quantity]]="",tblSalesClean[[#This Row],[Unit_Price_ZAR]]=""),"",tblSalesClean[[#This Row],[Quantity]]*tblSalesClean[[#This Row],[Unit_Price_ZAR]])</f>
        <v>13600</v>
      </c>
      <c r="L226" s="30">
        <f>IF(OR(tblSalesClean[[#This Row],[Gross_Revenue_ZAR]]="",tblSalesClean[[#This Row],[Discount_Pct]]=""),"",tblSalesClean[[#This Row],[Gross_Revenue_ZAR]]*(1-tblSalesClean[[#This Row],[Discount_Pct]]))</f>
        <v>13600</v>
      </c>
      <c r="M226" s="30">
        <f>IF(OR(tblSalesClean[[#This Row],[Net_Revenue_ZAR]]="",tblSalesClean[[#This Row],[Quantity]]="",tblSalesClean[[#This Row],[Unit_Cost_ZAR]]=""),"",tblSalesClean[[#This Row],[Net_Revenue_ZAR]]-(tblSalesClean[[#This Row],[Quantity]]*tblSalesClean[[#This Row],[Unit_Cost_ZAR]]))</f>
        <v>4400</v>
      </c>
    </row>
    <row r="227" spans="1:13" ht="13.5" x14ac:dyDescent="0.25">
      <c r="A227" s="1" t="s">
        <v>253</v>
      </c>
      <c r="B227" s="3">
        <v>46006</v>
      </c>
      <c r="C227" s="1" t="s">
        <v>10</v>
      </c>
      <c r="D227" s="1" t="s">
        <v>63</v>
      </c>
      <c r="E227" s="1" t="s">
        <v>12</v>
      </c>
      <c r="F227" s="1">
        <v>6</v>
      </c>
      <c r="G227" s="1">
        <v>520</v>
      </c>
      <c r="H227" s="1">
        <v>290</v>
      </c>
      <c r="I227" s="1">
        <v>0.05</v>
      </c>
      <c r="J227" s="8" t="str">
        <f>IF(OR(tblSalesClean[[#This Row],[Quantity]]="",tblSalesClean[[#This Row],[Discount_Pct]]=""),"Incomplete","Complete")</f>
        <v>Complete</v>
      </c>
      <c r="K227" s="30">
        <f>IF(OR(tblSalesClean[[#This Row],[Quantity]]="",tblSalesClean[[#This Row],[Unit_Price_ZAR]]=""),"",tblSalesClean[[#This Row],[Quantity]]*tblSalesClean[[#This Row],[Unit_Price_ZAR]])</f>
        <v>3120</v>
      </c>
      <c r="L227" s="30">
        <f>IF(OR(tblSalesClean[[#This Row],[Gross_Revenue_ZAR]]="",tblSalesClean[[#This Row],[Discount_Pct]]=""),"",tblSalesClean[[#This Row],[Gross_Revenue_ZAR]]*(1-tblSalesClean[[#This Row],[Discount_Pct]]))</f>
        <v>2964</v>
      </c>
      <c r="M227" s="30">
        <f>IF(OR(tblSalesClean[[#This Row],[Net_Revenue_ZAR]]="",tblSalesClean[[#This Row],[Quantity]]="",tblSalesClean[[#This Row],[Unit_Cost_ZAR]]=""),"",tblSalesClean[[#This Row],[Net_Revenue_ZAR]]-(tblSalesClean[[#This Row],[Quantity]]*tblSalesClean[[#This Row],[Unit_Cost_ZAR]]))</f>
        <v>1224</v>
      </c>
    </row>
    <row r="228" spans="1:13" ht="13.5" x14ac:dyDescent="0.25">
      <c r="A228" s="1" t="s">
        <v>254</v>
      </c>
      <c r="B228" s="3">
        <v>45949</v>
      </c>
      <c r="C228" s="1" t="s">
        <v>27</v>
      </c>
      <c r="D228" s="1" t="s">
        <v>11</v>
      </c>
      <c r="E228" s="1" t="s">
        <v>12</v>
      </c>
      <c r="F228" s="1">
        <v>1</v>
      </c>
      <c r="G228" s="1">
        <v>1850</v>
      </c>
      <c r="H228" s="1">
        <v>1200</v>
      </c>
      <c r="I228" s="1">
        <v>0.05</v>
      </c>
      <c r="J228" s="8" t="str">
        <f>IF(OR(tblSalesClean[[#This Row],[Quantity]]="",tblSalesClean[[#This Row],[Discount_Pct]]=""),"Incomplete","Complete")</f>
        <v>Complete</v>
      </c>
      <c r="K228" s="30">
        <f>IF(OR(tblSalesClean[[#This Row],[Quantity]]="",tblSalesClean[[#This Row],[Unit_Price_ZAR]]=""),"",tblSalesClean[[#This Row],[Quantity]]*tblSalesClean[[#This Row],[Unit_Price_ZAR]])</f>
        <v>1850</v>
      </c>
      <c r="L228" s="30">
        <f>IF(OR(tblSalesClean[[#This Row],[Gross_Revenue_ZAR]]="",tblSalesClean[[#This Row],[Discount_Pct]]=""),"",tblSalesClean[[#This Row],[Gross_Revenue_ZAR]]*(1-tblSalesClean[[#This Row],[Discount_Pct]]))</f>
        <v>1757.5</v>
      </c>
      <c r="M228" s="30">
        <f>IF(OR(tblSalesClean[[#This Row],[Net_Revenue_ZAR]]="",tblSalesClean[[#This Row],[Quantity]]="",tblSalesClean[[#This Row],[Unit_Cost_ZAR]]=""),"",tblSalesClean[[#This Row],[Net_Revenue_ZAR]]-(tblSalesClean[[#This Row],[Quantity]]*tblSalesClean[[#This Row],[Unit_Cost_ZAR]]))</f>
        <v>557.5</v>
      </c>
    </row>
    <row r="229" spans="1:13" ht="13.5" x14ac:dyDescent="0.25">
      <c r="A229" s="1" t="s">
        <v>255</v>
      </c>
      <c r="B229" s="3">
        <v>45788</v>
      </c>
      <c r="C229" s="1" t="s">
        <v>17</v>
      </c>
      <c r="D229" s="1" t="s">
        <v>25</v>
      </c>
      <c r="E229" s="1" t="s">
        <v>19</v>
      </c>
      <c r="F229" s="1">
        <v>3</v>
      </c>
      <c r="G229" s="1">
        <v>3400</v>
      </c>
      <c r="H229" s="1">
        <v>2300</v>
      </c>
      <c r="I229" s="1">
        <v>0</v>
      </c>
      <c r="J229" s="8" t="str">
        <f>IF(OR(tblSalesClean[[#This Row],[Quantity]]="",tblSalesClean[[#This Row],[Discount_Pct]]=""),"Incomplete","Complete")</f>
        <v>Complete</v>
      </c>
      <c r="K229" s="30">
        <f>IF(OR(tblSalesClean[[#This Row],[Quantity]]="",tblSalesClean[[#This Row],[Unit_Price_ZAR]]=""),"",tblSalesClean[[#This Row],[Quantity]]*tblSalesClean[[#This Row],[Unit_Price_ZAR]])</f>
        <v>10200</v>
      </c>
      <c r="L229" s="30">
        <f>IF(OR(tblSalesClean[[#This Row],[Gross_Revenue_ZAR]]="",tblSalesClean[[#This Row],[Discount_Pct]]=""),"",tblSalesClean[[#This Row],[Gross_Revenue_ZAR]]*(1-tblSalesClean[[#This Row],[Discount_Pct]]))</f>
        <v>10200</v>
      </c>
      <c r="M229" s="30">
        <f>IF(OR(tblSalesClean[[#This Row],[Net_Revenue_ZAR]]="",tblSalesClean[[#This Row],[Quantity]]="",tblSalesClean[[#This Row],[Unit_Cost_ZAR]]=""),"",tblSalesClean[[#This Row],[Net_Revenue_ZAR]]-(tblSalesClean[[#This Row],[Quantity]]*tblSalesClean[[#This Row],[Unit_Cost_ZAR]]))</f>
        <v>3300</v>
      </c>
    </row>
    <row r="230" spans="1:13" ht="13.5" x14ac:dyDescent="0.25">
      <c r="A230" s="1" t="s">
        <v>256</v>
      </c>
      <c r="B230" s="3">
        <v>45921</v>
      </c>
      <c r="C230" s="1" t="s">
        <v>17</v>
      </c>
      <c r="D230" s="1" t="s">
        <v>54</v>
      </c>
      <c r="E230" s="1" t="s">
        <v>15</v>
      </c>
      <c r="F230" s="1">
        <v>2</v>
      </c>
      <c r="G230" s="1">
        <v>3900</v>
      </c>
      <c r="H230" s="1">
        <v>2700</v>
      </c>
      <c r="I230" s="1">
        <v>0.1</v>
      </c>
      <c r="J230" s="8" t="str">
        <f>IF(OR(tblSalesClean[[#This Row],[Quantity]]="",tblSalesClean[[#This Row],[Discount_Pct]]=""),"Incomplete","Complete")</f>
        <v>Complete</v>
      </c>
      <c r="K230" s="30">
        <f>IF(OR(tblSalesClean[[#This Row],[Quantity]]="",tblSalesClean[[#This Row],[Unit_Price_ZAR]]=""),"",tblSalesClean[[#This Row],[Quantity]]*tblSalesClean[[#This Row],[Unit_Price_ZAR]])</f>
        <v>7800</v>
      </c>
      <c r="L230" s="30">
        <f>IF(OR(tblSalesClean[[#This Row],[Gross_Revenue_ZAR]]="",tblSalesClean[[#This Row],[Discount_Pct]]=""),"",tblSalesClean[[#This Row],[Gross_Revenue_ZAR]]*(1-tblSalesClean[[#This Row],[Discount_Pct]]))</f>
        <v>7020</v>
      </c>
      <c r="M230" s="30">
        <f>IF(OR(tblSalesClean[[#This Row],[Net_Revenue_ZAR]]="",tblSalesClean[[#This Row],[Quantity]]="",tblSalesClean[[#This Row],[Unit_Cost_ZAR]]=""),"",tblSalesClean[[#This Row],[Net_Revenue_ZAR]]-(tblSalesClean[[#This Row],[Quantity]]*tblSalesClean[[#This Row],[Unit_Cost_ZAR]]))</f>
        <v>1620</v>
      </c>
    </row>
    <row r="231" spans="1:13" ht="13.5" x14ac:dyDescent="0.25">
      <c r="A231" s="1" t="s">
        <v>257</v>
      </c>
      <c r="B231" s="3">
        <v>45812</v>
      </c>
      <c r="C231" s="1" t="s">
        <v>10</v>
      </c>
      <c r="D231" s="1" t="s">
        <v>63</v>
      </c>
      <c r="E231" s="1" t="s">
        <v>12</v>
      </c>
      <c r="F231" s="1">
        <v>6</v>
      </c>
      <c r="G231" s="1">
        <v>520</v>
      </c>
      <c r="H231" s="1">
        <v>290</v>
      </c>
      <c r="I231" s="1">
        <v>0</v>
      </c>
      <c r="J231" s="8" t="str">
        <f>IF(OR(tblSalesClean[[#This Row],[Quantity]]="",tblSalesClean[[#This Row],[Discount_Pct]]=""),"Incomplete","Complete")</f>
        <v>Complete</v>
      </c>
      <c r="K231" s="30">
        <f>IF(OR(tblSalesClean[[#This Row],[Quantity]]="",tblSalesClean[[#This Row],[Unit_Price_ZAR]]=""),"",tblSalesClean[[#This Row],[Quantity]]*tblSalesClean[[#This Row],[Unit_Price_ZAR]])</f>
        <v>3120</v>
      </c>
      <c r="L231" s="30">
        <f>IF(OR(tblSalesClean[[#This Row],[Gross_Revenue_ZAR]]="",tblSalesClean[[#This Row],[Discount_Pct]]=""),"",tblSalesClean[[#This Row],[Gross_Revenue_ZAR]]*(1-tblSalesClean[[#This Row],[Discount_Pct]]))</f>
        <v>3120</v>
      </c>
      <c r="M231" s="30">
        <f>IF(OR(tblSalesClean[[#This Row],[Net_Revenue_ZAR]]="",tblSalesClean[[#This Row],[Quantity]]="",tblSalesClean[[#This Row],[Unit_Cost_ZAR]]=""),"",tblSalesClean[[#This Row],[Net_Revenue_ZAR]]-(tblSalesClean[[#This Row],[Quantity]]*tblSalesClean[[#This Row],[Unit_Cost_ZAR]]))</f>
        <v>1380</v>
      </c>
    </row>
    <row r="232" spans="1:13" ht="13.5" x14ac:dyDescent="0.25">
      <c r="A232" s="1" t="s">
        <v>258</v>
      </c>
      <c r="B232" s="3">
        <v>45715</v>
      </c>
      <c r="C232" s="1" t="s">
        <v>21</v>
      </c>
      <c r="D232" s="1" t="s">
        <v>63</v>
      </c>
      <c r="E232" s="1" t="s">
        <v>12</v>
      </c>
      <c r="F232" s="1">
        <v>6</v>
      </c>
      <c r="G232" s="1">
        <v>520</v>
      </c>
      <c r="H232" s="1">
        <v>290</v>
      </c>
      <c r="I232" s="1">
        <v>0.05</v>
      </c>
      <c r="J232" s="8" t="str">
        <f>IF(OR(tblSalesClean[[#This Row],[Quantity]]="",tblSalesClean[[#This Row],[Discount_Pct]]=""),"Incomplete","Complete")</f>
        <v>Complete</v>
      </c>
      <c r="K232" s="30">
        <f>IF(OR(tblSalesClean[[#This Row],[Quantity]]="",tblSalesClean[[#This Row],[Unit_Price_ZAR]]=""),"",tblSalesClean[[#This Row],[Quantity]]*tblSalesClean[[#This Row],[Unit_Price_ZAR]])</f>
        <v>3120</v>
      </c>
      <c r="L232" s="30">
        <f>IF(OR(tblSalesClean[[#This Row],[Gross_Revenue_ZAR]]="",tblSalesClean[[#This Row],[Discount_Pct]]=""),"",tblSalesClean[[#This Row],[Gross_Revenue_ZAR]]*(1-tblSalesClean[[#This Row],[Discount_Pct]]))</f>
        <v>2964</v>
      </c>
      <c r="M232" s="30">
        <f>IF(OR(tblSalesClean[[#This Row],[Net_Revenue_ZAR]]="",tblSalesClean[[#This Row],[Quantity]]="",tblSalesClean[[#This Row],[Unit_Cost_ZAR]]=""),"",tblSalesClean[[#This Row],[Net_Revenue_ZAR]]-(tblSalesClean[[#This Row],[Quantity]]*tblSalesClean[[#This Row],[Unit_Cost_ZAR]]))</f>
        <v>1224</v>
      </c>
    </row>
    <row r="233" spans="1:13" ht="13.5" x14ac:dyDescent="0.25">
      <c r="A233" s="1" t="s">
        <v>259</v>
      </c>
      <c r="B233" s="3">
        <v>45963</v>
      </c>
      <c r="C233" s="1" t="s">
        <v>27</v>
      </c>
      <c r="D233" s="1" t="s">
        <v>28</v>
      </c>
      <c r="E233" s="1" t="s">
        <v>15</v>
      </c>
      <c r="F233" s="1">
        <v>3</v>
      </c>
      <c r="G233" s="1">
        <v>2800</v>
      </c>
      <c r="H233" s="1">
        <v>1900</v>
      </c>
      <c r="I233" s="1">
        <v>0</v>
      </c>
      <c r="J233" s="8" t="str">
        <f>IF(OR(tblSalesClean[[#This Row],[Quantity]]="",tblSalesClean[[#This Row],[Discount_Pct]]=""),"Incomplete","Complete")</f>
        <v>Complete</v>
      </c>
      <c r="K233" s="30">
        <f>IF(OR(tblSalesClean[[#This Row],[Quantity]]="",tblSalesClean[[#This Row],[Unit_Price_ZAR]]=""),"",tblSalesClean[[#This Row],[Quantity]]*tblSalesClean[[#This Row],[Unit_Price_ZAR]])</f>
        <v>8400</v>
      </c>
      <c r="L233" s="30">
        <f>IF(OR(tblSalesClean[[#This Row],[Gross_Revenue_ZAR]]="",tblSalesClean[[#This Row],[Discount_Pct]]=""),"",tblSalesClean[[#This Row],[Gross_Revenue_ZAR]]*(1-tblSalesClean[[#This Row],[Discount_Pct]]))</f>
        <v>8400</v>
      </c>
      <c r="M233" s="30">
        <f>IF(OR(tblSalesClean[[#This Row],[Net_Revenue_ZAR]]="",tblSalesClean[[#This Row],[Quantity]]="",tblSalesClean[[#This Row],[Unit_Cost_ZAR]]=""),"",tblSalesClean[[#This Row],[Net_Revenue_ZAR]]-(tblSalesClean[[#This Row],[Quantity]]*tblSalesClean[[#This Row],[Unit_Cost_ZAR]]))</f>
        <v>2700</v>
      </c>
    </row>
    <row r="234" spans="1:13" ht="13.5" x14ac:dyDescent="0.25">
      <c r="A234" s="1" t="s">
        <v>260</v>
      </c>
      <c r="B234" s="3">
        <v>45816</v>
      </c>
      <c r="C234" s="1" t="s">
        <v>27</v>
      </c>
      <c r="D234" s="1" t="s">
        <v>54</v>
      </c>
      <c r="E234" s="1" t="s">
        <v>15</v>
      </c>
      <c r="F234" s="1">
        <v>6</v>
      </c>
      <c r="G234" s="1">
        <v>3900</v>
      </c>
      <c r="H234" s="1">
        <v>2700</v>
      </c>
      <c r="I234" s="1">
        <v>0</v>
      </c>
      <c r="J234" s="8" t="str">
        <f>IF(OR(tblSalesClean[[#This Row],[Quantity]]="",tblSalesClean[[#This Row],[Discount_Pct]]=""),"Incomplete","Complete")</f>
        <v>Complete</v>
      </c>
      <c r="K234" s="30">
        <f>IF(OR(tblSalesClean[[#This Row],[Quantity]]="",tblSalesClean[[#This Row],[Unit_Price_ZAR]]=""),"",tblSalesClean[[#This Row],[Quantity]]*tblSalesClean[[#This Row],[Unit_Price_ZAR]])</f>
        <v>23400</v>
      </c>
      <c r="L234" s="30">
        <f>IF(OR(tblSalesClean[[#This Row],[Gross_Revenue_ZAR]]="",tblSalesClean[[#This Row],[Discount_Pct]]=""),"",tblSalesClean[[#This Row],[Gross_Revenue_ZAR]]*(1-tblSalesClean[[#This Row],[Discount_Pct]]))</f>
        <v>23400</v>
      </c>
      <c r="M234" s="30">
        <f>IF(OR(tblSalesClean[[#This Row],[Net_Revenue_ZAR]]="",tblSalesClean[[#This Row],[Quantity]]="",tblSalesClean[[#This Row],[Unit_Cost_ZAR]]=""),"",tblSalesClean[[#This Row],[Net_Revenue_ZAR]]-(tblSalesClean[[#This Row],[Quantity]]*tblSalesClean[[#This Row],[Unit_Cost_ZAR]]))</f>
        <v>7200</v>
      </c>
    </row>
    <row r="235" spans="1:13" ht="13.5" x14ac:dyDescent="0.25">
      <c r="A235" s="1" t="s">
        <v>261</v>
      </c>
      <c r="B235" s="3">
        <v>45994</v>
      </c>
      <c r="C235" s="1" t="s">
        <v>21</v>
      </c>
      <c r="D235" s="1" t="s">
        <v>18</v>
      </c>
      <c r="E235" s="1" t="s">
        <v>19</v>
      </c>
      <c r="F235" s="1">
        <v>4</v>
      </c>
      <c r="G235" s="1">
        <v>12500</v>
      </c>
      <c r="H235" s="1">
        <v>9400</v>
      </c>
      <c r="I235" s="1">
        <v>0</v>
      </c>
      <c r="J235" s="8" t="str">
        <f>IF(OR(tblSalesClean[[#This Row],[Quantity]]="",tblSalesClean[[#This Row],[Discount_Pct]]=""),"Incomplete","Complete")</f>
        <v>Complete</v>
      </c>
      <c r="K235" s="30">
        <f>IF(OR(tblSalesClean[[#This Row],[Quantity]]="",tblSalesClean[[#This Row],[Unit_Price_ZAR]]=""),"",tblSalesClean[[#This Row],[Quantity]]*tblSalesClean[[#This Row],[Unit_Price_ZAR]])</f>
        <v>50000</v>
      </c>
      <c r="L235" s="30">
        <f>IF(OR(tblSalesClean[[#This Row],[Gross_Revenue_ZAR]]="",tblSalesClean[[#This Row],[Discount_Pct]]=""),"",tblSalesClean[[#This Row],[Gross_Revenue_ZAR]]*(1-tblSalesClean[[#This Row],[Discount_Pct]]))</f>
        <v>50000</v>
      </c>
      <c r="M235" s="30">
        <f>IF(OR(tblSalesClean[[#This Row],[Net_Revenue_ZAR]]="",tblSalesClean[[#This Row],[Quantity]]="",tblSalesClean[[#This Row],[Unit_Cost_ZAR]]=""),"",tblSalesClean[[#This Row],[Net_Revenue_ZAR]]-(tblSalesClean[[#This Row],[Quantity]]*tblSalesClean[[#This Row],[Unit_Cost_ZAR]]))</f>
        <v>12400</v>
      </c>
    </row>
    <row r="236" spans="1:13" ht="13.5" x14ac:dyDescent="0.25">
      <c r="A236" s="1" t="s">
        <v>262</v>
      </c>
      <c r="B236" s="3">
        <v>45804</v>
      </c>
      <c r="C236" s="1" t="s">
        <v>10</v>
      </c>
      <c r="D236" s="1" t="s">
        <v>14</v>
      </c>
      <c r="E236" s="1" t="s">
        <v>15</v>
      </c>
      <c r="F236" s="1">
        <v>2</v>
      </c>
      <c r="G236" s="1">
        <v>2100</v>
      </c>
      <c r="H236" s="1">
        <v>1350</v>
      </c>
      <c r="I236" s="1">
        <v>0.1</v>
      </c>
      <c r="J236" s="8" t="str">
        <f>IF(OR(tblSalesClean[[#This Row],[Quantity]]="",tblSalesClean[[#This Row],[Discount_Pct]]=""),"Incomplete","Complete")</f>
        <v>Complete</v>
      </c>
      <c r="K236" s="30">
        <f>IF(OR(tblSalesClean[[#This Row],[Quantity]]="",tblSalesClean[[#This Row],[Unit_Price_ZAR]]=""),"",tblSalesClean[[#This Row],[Quantity]]*tblSalesClean[[#This Row],[Unit_Price_ZAR]])</f>
        <v>4200</v>
      </c>
      <c r="L236" s="30">
        <f>IF(OR(tblSalesClean[[#This Row],[Gross_Revenue_ZAR]]="",tblSalesClean[[#This Row],[Discount_Pct]]=""),"",tblSalesClean[[#This Row],[Gross_Revenue_ZAR]]*(1-tblSalesClean[[#This Row],[Discount_Pct]]))</f>
        <v>3780</v>
      </c>
      <c r="M236" s="30">
        <f>IF(OR(tblSalesClean[[#This Row],[Net_Revenue_ZAR]]="",tblSalesClean[[#This Row],[Quantity]]="",tblSalesClean[[#This Row],[Unit_Cost_ZAR]]=""),"",tblSalesClean[[#This Row],[Net_Revenue_ZAR]]-(tblSalesClean[[#This Row],[Quantity]]*tblSalesClean[[#This Row],[Unit_Cost_ZAR]]))</f>
        <v>1080</v>
      </c>
    </row>
    <row r="237" spans="1:13" ht="13.5" x14ac:dyDescent="0.25">
      <c r="A237" s="1" t="s">
        <v>263</v>
      </c>
      <c r="B237" s="3">
        <v>45963</v>
      </c>
      <c r="C237" s="1" t="s">
        <v>27</v>
      </c>
      <c r="D237" s="1" t="s">
        <v>11</v>
      </c>
      <c r="E237" s="1" t="s">
        <v>12</v>
      </c>
      <c r="F237" s="1">
        <v>2</v>
      </c>
      <c r="G237" s="1">
        <v>1850</v>
      </c>
      <c r="H237" s="1">
        <v>1200</v>
      </c>
      <c r="I237" s="1">
        <v>0</v>
      </c>
      <c r="J237" s="8" t="str">
        <f>IF(OR(tblSalesClean[[#This Row],[Quantity]]="",tblSalesClean[[#This Row],[Discount_Pct]]=""),"Incomplete","Complete")</f>
        <v>Complete</v>
      </c>
      <c r="K237" s="30">
        <f>IF(OR(tblSalesClean[[#This Row],[Quantity]]="",tblSalesClean[[#This Row],[Unit_Price_ZAR]]=""),"",tblSalesClean[[#This Row],[Quantity]]*tblSalesClean[[#This Row],[Unit_Price_ZAR]])</f>
        <v>3700</v>
      </c>
      <c r="L237" s="30">
        <f>IF(OR(tblSalesClean[[#This Row],[Gross_Revenue_ZAR]]="",tblSalesClean[[#This Row],[Discount_Pct]]=""),"",tblSalesClean[[#This Row],[Gross_Revenue_ZAR]]*(1-tblSalesClean[[#This Row],[Discount_Pct]]))</f>
        <v>3700</v>
      </c>
      <c r="M237" s="30">
        <f>IF(OR(tblSalesClean[[#This Row],[Net_Revenue_ZAR]]="",tblSalesClean[[#This Row],[Quantity]]="",tblSalesClean[[#This Row],[Unit_Cost_ZAR]]=""),"",tblSalesClean[[#This Row],[Net_Revenue_ZAR]]-(tblSalesClean[[#This Row],[Quantity]]*tblSalesClean[[#This Row],[Unit_Cost_ZAR]]))</f>
        <v>1300</v>
      </c>
    </row>
    <row r="238" spans="1:13" ht="13.5" x14ac:dyDescent="0.25">
      <c r="A238" s="1" t="s">
        <v>264</v>
      </c>
      <c r="B238" s="3">
        <v>45875</v>
      </c>
      <c r="C238" s="1" t="s">
        <v>17</v>
      </c>
      <c r="D238" s="1" t="s">
        <v>14</v>
      </c>
      <c r="E238" s="1" t="s">
        <v>15</v>
      </c>
      <c r="F238" s="1">
        <v>2</v>
      </c>
      <c r="G238" s="1">
        <v>2100</v>
      </c>
      <c r="H238" s="1">
        <v>1350</v>
      </c>
      <c r="I238" s="1">
        <v>0</v>
      </c>
      <c r="J238" s="8" t="str">
        <f>IF(OR(tblSalesClean[[#This Row],[Quantity]]="",tblSalesClean[[#This Row],[Discount_Pct]]=""),"Incomplete","Complete")</f>
        <v>Complete</v>
      </c>
      <c r="K238" s="30">
        <f>IF(OR(tblSalesClean[[#This Row],[Quantity]]="",tblSalesClean[[#This Row],[Unit_Price_ZAR]]=""),"",tblSalesClean[[#This Row],[Quantity]]*tblSalesClean[[#This Row],[Unit_Price_ZAR]])</f>
        <v>4200</v>
      </c>
      <c r="L238" s="30">
        <f>IF(OR(tblSalesClean[[#This Row],[Gross_Revenue_ZAR]]="",tblSalesClean[[#This Row],[Discount_Pct]]=""),"",tblSalesClean[[#This Row],[Gross_Revenue_ZAR]]*(1-tblSalesClean[[#This Row],[Discount_Pct]]))</f>
        <v>4200</v>
      </c>
      <c r="M238" s="30">
        <f>IF(OR(tblSalesClean[[#This Row],[Net_Revenue_ZAR]]="",tblSalesClean[[#This Row],[Quantity]]="",tblSalesClean[[#This Row],[Unit_Cost_ZAR]]=""),"",tblSalesClean[[#This Row],[Net_Revenue_ZAR]]-(tblSalesClean[[#This Row],[Quantity]]*tblSalesClean[[#This Row],[Unit_Cost_ZAR]]))</f>
        <v>1500</v>
      </c>
    </row>
    <row r="239" spans="1:13" ht="13.5" x14ac:dyDescent="0.25">
      <c r="A239" s="1" t="s">
        <v>265</v>
      </c>
      <c r="B239" s="3">
        <v>45812</v>
      </c>
      <c r="C239" s="1" t="s">
        <v>10</v>
      </c>
      <c r="D239" s="1" t="s">
        <v>14</v>
      </c>
      <c r="E239" s="1" t="s">
        <v>15</v>
      </c>
      <c r="F239" s="1">
        <v>2</v>
      </c>
      <c r="G239" s="1">
        <v>2100</v>
      </c>
      <c r="H239" s="1">
        <v>1350</v>
      </c>
      <c r="I239" s="1">
        <v>0</v>
      </c>
      <c r="J239" s="8" t="str">
        <f>IF(OR(tblSalesClean[[#This Row],[Quantity]]="",tblSalesClean[[#This Row],[Discount_Pct]]=""),"Incomplete","Complete")</f>
        <v>Complete</v>
      </c>
      <c r="K239" s="30">
        <f>IF(OR(tblSalesClean[[#This Row],[Quantity]]="",tblSalesClean[[#This Row],[Unit_Price_ZAR]]=""),"",tblSalesClean[[#This Row],[Quantity]]*tblSalesClean[[#This Row],[Unit_Price_ZAR]])</f>
        <v>4200</v>
      </c>
      <c r="L239" s="30">
        <f>IF(OR(tblSalesClean[[#This Row],[Gross_Revenue_ZAR]]="",tblSalesClean[[#This Row],[Discount_Pct]]=""),"",tblSalesClean[[#This Row],[Gross_Revenue_ZAR]]*(1-tblSalesClean[[#This Row],[Discount_Pct]]))</f>
        <v>4200</v>
      </c>
      <c r="M239" s="30">
        <f>IF(OR(tblSalesClean[[#This Row],[Net_Revenue_ZAR]]="",tblSalesClean[[#This Row],[Quantity]]="",tblSalesClean[[#This Row],[Unit_Cost_ZAR]]=""),"",tblSalesClean[[#This Row],[Net_Revenue_ZAR]]-(tblSalesClean[[#This Row],[Quantity]]*tblSalesClean[[#This Row],[Unit_Cost_ZAR]]))</f>
        <v>1500</v>
      </c>
    </row>
    <row r="240" spans="1:13" ht="13.5" x14ac:dyDescent="0.25">
      <c r="A240" s="1" t="s">
        <v>266</v>
      </c>
      <c r="B240" s="3">
        <v>45749</v>
      </c>
      <c r="C240" s="1" t="s">
        <v>27</v>
      </c>
      <c r="D240" s="1" t="s">
        <v>18</v>
      </c>
      <c r="E240" s="1" t="s">
        <v>19</v>
      </c>
      <c r="F240" s="1">
        <v>2</v>
      </c>
      <c r="G240" s="1">
        <v>12500</v>
      </c>
      <c r="H240" s="1">
        <v>9400</v>
      </c>
      <c r="I240" s="1">
        <v>0</v>
      </c>
      <c r="J240" s="8" t="str">
        <f>IF(OR(tblSalesClean[[#This Row],[Quantity]]="",tblSalesClean[[#This Row],[Discount_Pct]]=""),"Incomplete","Complete")</f>
        <v>Complete</v>
      </c>
      <c r="K240" s="30">
        <f>IF(OR(tblSalesClean[[#This Row],[Quantity]]="",tblSalesClean[[#This Row],[Unit_Price_ZAR]]=""),"",tblSalesClean[[#This Row],[Quantity]]*tblSalesClean[[#This Row],[Unit_Price_ZAR]])</f>
        <v>25000</v>
      </c>
      <c r="L240" s="30">
        <f>IF(OR(tblSalesClean[[#This Row],[Gross_Revenue_ZAR]]="",tblSalesClean[[#This Row],[Discount_Pct]]=""),"",tblSalesClean[[#This Row],[Gross_Revenue_ZAR]]*(1-tblSalesClean[[#This Row],[Discount_Pct]]))</f>
        <v>25000</v>
      </c>
      <c r="M240" s="30">
        <f>IF(OR(tblSalesClean[[#This Row],[Net_Revenue_ZAR]]="",tblSalesClean[[#This Row],[Quantity]]="",tblSalesClean[[#This Row],[Unit_Cost_ZAR]]=""),"",tblSalesClean[[#This Row],[Net_Revenue_ZAR]]-(tblSalesClean[[#This Row],[Quantity]]*tblSalesClean[[#This Row],[Unit_Cost_ZAR]]))</f>
        <v>6200</v>
      </c>
    </row>
    <row r="241" spans="1:13" ht="13.5" x14ac:dyDescent="0.25">
      <c r="A241" s="1" t="s">
        <v>267</v>
      </c>
      <c r="B241" s="3">
        <v>45811</v>
      </c>
      <c r="C241" s="1" t="s">
        <v>27</v>
      </c>
      <c r="D241" s="1" t="s">
        <v>18</v>
      </c>
      <c r="E241" s="1" t="s">
        <v>19</v>
      </c>
      <c r="F241" s="1">
        <v>2</v>
      </c>
      <c r="G241" s="1">
        <v>12500</v>
      </c>
      <c r="H241" s="1">
        <v>9400</v>
      </c>
      <c r="I241" s="1">
        <v>0.05</v>
      </c>
      <c r="J241" s="8" t="str">
        <f>IF(OR(tblSalesClean[[#This Row],[Quantity]]="",tblSalesClean[[#This Row],[Discount_Pct]]=""),"Incomplete","Complete")</f>
        <v>Complete</v>
      </c>
      <c r="K241" s="30">
        <f>IF(OR(tblSalesClean[[#This Row],[Quantity]]="",tblSalesClean[[#This Row],[Unit_Price_ZAR]]=""),"",tblSalesClean[[#This Row],[Quantity]]*tblSalesClean[[#This Row],[Unit_Price_ZAR]])</f>
        <v>25000</v>
      </c>
      <c r="L241" s="30">
        <f>IF(OR(tblSalesClean[[#This Row],[Gross_Revenue_ZAR]]="",tblSalesClean[[#This Row],[Discount_Pct]]=""),"",tblSalesClean[[#This Row],[Gross_Revenue_ZAR]]*(1-tblSalesClean[[#This Row],[Discount_Pct]]))</f>
        <v>23750</v>
      </c>
      <c r="M241" s="30">
        <f>IF(OR(tblSalesClean[[#This Row],[Net_Revenue_ZAR]]="",tblSalesClean[[#This Row],[Quantity]]="",tblSalesClean[[#This Row],[Unit_Cost_ZAR]]=""),"",tblSalesClean[[#This Row],[Net_Revenue_ZAR]]-(tblSalesClean[[#This Row],[Quantity]]*tblSalesClean[[#This Row],[Unit_Cost_ZAR]]))</f>
        <v>4950</v>
      </c>
    </row>
  </sheetData>
  <phoneticPr fontId="12" type="noConversion"/>
  <conditionalFormatting sqref="A1:A1048576">
    <cfRule type="duplicateValues" dxfId="23" priority="1"/>
    <cfRule type="duplicateValues" dxfId="22" priority="2"/>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9247F7-8626-49AF-99BC-43A5391A2B24}">
  <dimension ref="A1:T30"/>
  <sheetViews>
    <sheetView workbookViewId="0">
      <selection activeCell="H33" sqref="H33"/>
    </sheetView>
  </sheetViews>
  <sheetFormatPr defaultRowHeight="13.5" x14ac:dyDescent="0.25"/>
  <cols>
    <col min="1" max="1" width="9.5703125" customWidth="1"/>
    <col min="2" max="2" width="17" customWidth="1"/>
    <col min="3" max="3" width="13.85546875" customWidth="1"/>
    <col min="4" max="4" width="17" customWidth="1"/>
    <col min="5" max="5" width="19" customWidth="1"/>
    <col min="6" max="6" width="19.28515625" customWidth="1"/>
    <col min="7" max="7" width="16.85546875" style="10" customWidth="1"/>
    <col min="8" max="8" width="41.42578125" customWidth="1"/>
    <col min="13" max="13" width="10.140625" bestFit="1" customWidth="1"/>
  </cols>
  <sheetData>
    <row r="1" spans="1:20" ht="14.25" thickBot="1" x14ac:dyDescent="0.3"/>
    <row r="2" spans="1:20" ht="34.5" x14ac:dyDescent="0.55000000000000004">
      <c r="B2" s="46" t="s">
        <v>283</v>
      </c>
      <c r="C2" s="47"/>
      <c r="D2" s="47"/>
      <c r="E2" s="47"/>
      <c r="F2" s="47"/>
      <c r="G2" s="47"/>
      <c r="H2" s="48"/>
      <c r="I2" s="16"/>
    </row>
    <row r="3" spans="1:20" x14ac:dyDescent="0.25">
      <c r="B3" s="49"/>
      <c r="C3" s="50"/>
      <c r="D3" s="50"/>
      <c r="E3" s="50"/>
      <c r="F3" s="50"/>
      <c r="G3" s="62"/>
      <c r="H3" s="63"/>
      <c r="I3" s="16"/>
    </row>
    <row r="4" spans="1:20" ht="18.75" x14ac:dyDescent="0.3">
      <c r="B4" s="52" t="s">
        <v>284</v>
      </c>
      <c r="C4" s="53"/>
      <c r="D4" s="53" t="s">
        <v>285</v>
      </c>
      <c r="E4" s="53"/>
      <c r="F4" s="53" t="s">
        <v>286</v>
      </c>
      <c r="G4" s="53"/>
      <c r="H4" s="64" t="s">
        <v>287</v>
      </c>
      <c r="I4" s="26"/>
    </row>
    <row r="5" spans="1:20" ht="31.5" x14ac:dyDescent="0.25">
      <c r="B5" s="65">
        <f>COUNTA(tblSales[Order_ID])</f>
        <v>240</v>
      </c>
      <c r="C5" s="66"/>
      <c r="D5" s="66">
        <f>COUNTA(tblCleaning[Issue Type])</f>
        <v>6</v>
      </c>
      <c r="E5" s="66"/>
      <c r="F5" s="66">
        <f>COUNTIF(tblCleaning[Status],"Identified") +COUNTIF(tblCleaning[Status],"Pending")</f>
        <v>2</v>
      </c>
      <c r="G5" s="66"/>
      <c r="H5" s="67">
        <f>IFERROR((COUNTIF(tblCleaning[Status],"Corrected")+COUNTIF(tblCleaning[Status],"Excluded"))/COUNTA(tblCleaning[Issue Type]),0)</f>
        <v>0.66666666666666663</v>
      </c>
      <c r="I5" s="27"/>
    </row>
    <row r="6" spans="1:20" s="4" customFormat="1" x14ac:dyDescent="0.25">
      <c r="A6" s="16"/>
      <c r="B6" s="68"/>
      <c r="C6" s="69"/>
      <c r="D6" s="69"/>
      <c r="E6" s="69"/>
      <c r="F6" s="69"/>
      <c r="G6" s="70"/>
      <c r="H6" s="71"/>
      <c r="I6" s="18"/>
      <c r="L6" s="6"/>
      <c r="M6" s="5"/>
      <c r="N6" s="6"/>
      <c r="O6" s="6"/>
      <c r="P6" s="6"/>
      <c r="Q6" s="6"/>
      <c r="R6" s="6"/>
      <c r="S6" s="6"/>
      <c r="T6" s="6"/>
    </row>
    <row r="7" spans="1:20" ht="14.25" thickBot="1" x14ac:dyDescent="0.3">
      <c r="A7" s="12"/>
      <c r="B7" s="72"/>
      <c r="C7" s="73"/>
      <c r="D7" s="73"/>
      <c r="E7" s="73"/>
      <c r="F7" s="73"/>
      <c r="G7" s="74"/>
      <c r="H7" s="75"/>
      <c r="I7" s="16"/>
    </row>
    <row r="8" spans="1:20" s="4" customFormat="1" x14ac:dyDescent="0.25">
      <c r="A8" s="16"/>
      <c r="B8" s="17"/>
      <c r="C8" s="18"/>
      <c r="D8" s="18"/>
      <c r="E8" s="18"/>
      <c r="F8" s="18"/>
      <c r="G8" s="19"/>
      <c r="H8" s="18"/>
      <c r="I8" s="18"/>
      <c r="L8" s="6"/>
      <c r="M8" s="5"/>
      <c r="N8" s="6"/>
      <c r="O8" s="6"/>
      <c r="P8" s="6"/>
      <c r="Q8" s="6"/>
      <c r="R8" s="6"/>
      <c r="S8" s="6"/>
      <c r="T8" s="6"/>
    </row>
    <row r="9" spans="1:20" s="4" customFormat="1" x14ac:dyDescent="0.25">
      <c r="B9" s="7" t="s">
        <v>268</v>
      </c>
      <c r="C9" s="7" t="s">
        <v>269</v>
      </c>
      <c r="D9" s="7" t="s">
        <v>270</v>
      </c>
      <c r="E9" s="7" t="s">
        <v>271</v>
      </c>
      <c r="F9" s="9" t="s">
        <v>272</v>
      </c>
      <c r="G9" s="7" t="s">
        <v>273</v>
      </c>
      <c r="H9" s="9" t="s">
        <v>281</v>
      </c>
      <c r="I9" s="16"/>
    </row>
    <row r="10" spans="1:20" s="4" customFormat="1" x14ac:dyDescent="0.25">
      <c r="B10" s="11" t="s">
        <v>45</v>
      </c>
      <c r="C10" s="12" t="s">
        <v>2</v>
      </c>
      <c r="D10" s="12" t="s">
        <v>46</v>
      </c>
      <c r="E10" s="12" t="s">
        <v>274</v>
      </c>
      <c r="F10" s="15" t="s">
        <v>275</v>
      </c>
      <c r="G10" s="12" t="s">
        <v>288</v>
      </c>
      <c r="H10" s="13"/>
      <c r="I10" s="18"/>
    </row>
    <row r="11" spans="1:20" s="4" customFormat="1" x14ac:dyDescent="0.25">
      <c r="B11" s="11" t="s">
        <v>85</v>
      </c>
      <c r="C11" s="12" t="s">
        <v>4</v>
      </c>
      <c r="D11" s="12" t="s">
        <v>86</v>
      </c>
      <c r="E11" s="12" t="s">
        <v>274</v>
      </c>
      <c r="F11" s="15" t="s">
        <v>276</v>
      </c>
      <c r="G11" s="14" t="s">
        <v>288</v>
      </c>
      <c r="H11" s="15"/>
      <c r="I11" s="16"/>
    </row>
    <row r="12" spans="1:20" s="4" customFormat="1" x14ac:dyDescent="0.25">
      <c r="B12" s="11" t="s">
        <v>130</v>
      </c>
      <c r="C12" s="14" t="s">
        <v>5</v>
      </c>
      <c r="D12" s="14" t="s">
        <v>277</v>
      </c>
      <c r="E12" s="14" t="s">
        <v>278</v>
      </c>
      <c r="F12" s="13" t="s">
        <v>279</v>
      </c>
      <c r="G12" s="14" t="s">
        <v>280</v>
      </c>
      <c r="H12" s="15"/>
      <c r="I12" s="16"/>
    </row>
    <row r="13" spans="1:20" ht="35.25" customHeight="1" x14ac:dyDescent="0.25">
      <c r="B13" s="11" t="s">
        <v>174</v>
      </c>
      <c r="C13" s="14" t="s">
        <v>8</v>
      </c>
      <c r="D13" s="14" t="s">
        <v>277</v>
      </c>
      <c r="E13" s="14" t="s">
        <v>278</v>
      </c>
      <c r="F13" s="13" t="s">
        <v>279</v>
      </c>
      <c r="G13" s="14" t="s">
        <v>280</v>
      </c>
      <c r="H13" s="13" t="s">
        <v>282</v>
      </c>
      <c r="I13" s="12"/>
    </row>
    <row r="14" spans="1:20" x14ac:dyDescent="0.25">
      <c r="B14" s="23" t="s">
        <v>212</v>
      </c>
      <c r="C14" s="14" t="s">
        <v>1</v>
      </c>
      <c r="D14" s="29">
        <v>45918</v>
      </c>
      <c r="E14" s="14" t="s">
        <v>274</v>
      </c>
      <c r="F14" s="13" t="s">
        <v>291</v>
      </c>
      <c r="G14" s="14" t="s">
        <v>288</v>
      </c>
      <c r="H14" s="13"/>
      <c r="I14" s="12"/>
    </row>
    <row r="15" spans="1:20" ht="27" x14ac:dyDescent="0.25">
      <c r="B15" s="11" t="s">
        <v>241</v>
      </c>
      <c r="C15" s="14" t="s">
        <v>2</v>
      </c>
      <c r="D15" s="25" t="s">
        <v>242</v>
      </c>
      <c r="E15" s="14" t="s">
        <v>274</v>
      </c>
      <c r="F15" s="13" t="s">
        <v>289</v>
      </c>
      <c r="G15" s="14" t="s">
        <v>288</v>
      </c>
      <c r="H15" s="13"/>
      <c r="I15" s="12"/>
    </row>
    <row r="16" spans="1:20" x14ac:dyDescent="0.25">
      <c r="B16" s="23"/>
      <c r="C16" s="14"/>
      <c r="D16" s="24"/>
      <c r="E16" s="14"/>
      <c r="F16" s="13"/>
      <c r="G16" s="14"/>
      <c r="H16" s="13"/>
      <c r="I16" s="12"/>
    </row>
    <row r="17" spans="1:9" x14ac:dyDescent="0.25">
      <c r="A17" s="12"/>
      <c r="H17" s="12"/>
      <c r="I17" s="12"/>
    </row>
    <row r="18" spans="1:9" x14ac:dyDescent="0.25">
      <c r="A18" s="12"/>
      <c r="I18" s="12"/>
    </row>
    <row r="19" spans="1:9" x14ac:dyDescent="0.25">
      <c r="A19" s="12"/>
      <c r="I19" s="12"/>
    </row>
    <row r="20" spans="1:9" x14ac:dyDescent="0.25">
      <c r="A20" s="12"/>
      <c r="I20" s="12"/>
    </row>
    <row r="21" spans="1:9" x14ac:dyDescent="0.25">
      <c r="A21" s="12"/>
    </row>
    <row r="22" spans="1:9" x14ac:dyDescent="0.25">
      <c r="A22" s="12"/>
      <c r="G22" s="9"/>
    </row>
    <row r="23" spans="1:9" ht="14.25" thickBot="1" x14ac:dyDescent="0.3">
      <c r="A23" s="12"/>
    </row>
    <row r="24" spans="1:9" ht="18.75" x14ac:dyDescent="0.3">
      <c r="B24" s="76" t="s">
        <v>292</v>
      </c>
      <c r="C24" s="77"/>
      <c r="D24" s="78">
        <f>ROWS(tblSalesClean[Order_ID])</f>
        <v>240</v>
      </c>
      <c r="E24" s="79"/>
      <c r="F24" s="77" t="s">
        <v>300</v>
      </c>
      <c r="G24" s="77"/>
      <c r="H24" s="80">
        <f>ROWS(tblSalesClean[Order_ID])</f>
        <v>240</v>
      </c>
    </row>
    <row r="25" spans="1:9" x14ac:dyDescent="0.25">
      <c r="B25" s="49"/>
      <c r="C25" s="50"/>
      <c r="D25" s="50"/>
      <c r="E25" s="50"/>
      <c r="F25" s="50"/>
      <c r="G25" s="62"/>
      <c r="H25" s="51"/>
    </row>
    <row r="26" spans="1:9" ht="18.75" x14ac:dyDescent="0.3">
      <c r="B26" s="81" t="s">
        <v>293</v>
      </c>
      <c r="C26" s="82"/>
      <c r="D26" s="83">
        <f>COUNTBLANK(tblSalesClean[Quantity])</f>
        <v>1</v>
      </c>
      <c r="E26" s="50"/>
      <c r="F26" s="82" t="s">
        <v>299</v>
      </c>
      <c r="G26" s="82"/>
      <c r="H26" s="84">
        <f>COUNTBLANK(tblSalesClean[Gross_Revenue_ZAR])</f>
        <v>1</v>
      </c>
    </row>
    <row r="27" spans="1:9" x14ac:dyDescent="0.25">
      <c r="B27" s="49"/>
      <c r="C27" s="50"/>
      <c r="D27" s="50"/>
      <c r="E27" s="50"/>
      <c r="F27" s="50"/>
      <c r="G27" s="62"/>
      <c r="H27" s="51"/>
    </row>
    <row r="28" spans="1:9" ht="18.75" x14ac:dyDescent="0.3">
      <c r="B28" s="81" t="s">
        <v>294</v>
      </c>
      <c r="C28" s="82"/>
      <c r="D28" s="83">
        <f>COUNTBLANK(tblSalesClean[Discount_Pct])</f>
        <v>1</v>
      </c>
      <c r="E28" s="50"/>
      <c r="F28" s="82" t="s">
        <v>301</v>
      </c>
      <c r="G28" s="82"/>
      <c r="H28" s="84">
        <f>COUNTBLANK(tblSalesClean[Net_Revenue_ZAR])</f>
        <v>2</v>
      </c>
    </row>
    <row r="29" spans="1:9" x14ac:dyDescent="0.25">
      <c r="B29" s="49"/>
      <c r="C29" s="50"/>
      <c r="D29" s="50"/>
      <c r="E29" s="50"/>
      <c r="F29" s="50"/>
      <c r="G29" s="62"/>
      <c r="H29" s="51"/>
    </row>
    <row r="30" spans="1:9" ht="19.5" thickBot="1" x14ac:dyDescent="0.35">
      <c r="B30" s="85" t="s">
        <v>295</v>
      </c>
      <c r="C30" s="86"/>
      <c r="D30" s="87">
        <f>COUNTIF(tblSalesClean[Data_Quality_Status], "Incomplete")</f>
        <v>2</v>
      </c>
      <c r="E30" s="60"/>
      <c r="F30" s="86" t="s">
        <v>302</v>
      </c>
      <c r="G30" s="86"/>
      <c r="H30" s="88">
        <f>COUNTBLANK(tblSalesClean[Gross_Profit_ZAR])</f>
        <v>2</v>
      </c>
    </row>
  </sheetData>
  <mergeCells count="15">
    <mergeCell ref="B30:C30"/>
    <mergeCell ref="F24:G24"/>
    <mergeCell ref="F26:G26"/>
    <mergeCell ref="F28:G28"/>
    <mergeCell ref="F30:G30"/>
    <mergeCell ref="B2:H2"/>
    <mergeCell ref="B24:C24"/>
    <mergeCell ref="B26:C26"/>
    <mergeCell ref="B28:C28"/>
    <mergeCell ref="B4:C4"/>
    <mergeCell ref="D4:E4"/>
    <mergeCell ref="B5:C5"/>
    <mergeCell ref="D5:E5"/>
    <mergeCell ref="F5:G5"/>
    <mergeCell ref="F4:G4"/>
  </mergeCells>
  <conditionalFormatting sqref="H5">
    <cfRule type="dataBar" priority="3">
      <dataBar>
        <cfvo type="percent" val="0"/>
        <cfvo type="percent" val="100"/>
        <color rgb="FF638EC6"/>
      </dataBar>
      <extLst>
        <ext xmlns:x14="http://schemas.microsoft.com/office/spreadsheetml/2009/9/main" uri="{B025F937-C7B1-47D3-B67F-A62EFF666E3E}">
          <x14:id>{09FBDB33-7CC7-4F78-88E2-3A49A8DF5621}</x14:id>
        </ext>
      </extLst>
    </cfRule>
    <cfRule type="dataBar" priority="4">
      <dataBar>
        <cfvo type="min"/>
        <cfvo type="max"/>
        <color theme="3" tint="0.749992370372631"/>
      </dataBar>
      <extLst>
        <ext xmlns:x14="http://schemas.microsoft.com/office/spreadsheetml/2009/9/main" uri="{B025F937-C7B1-47D3-B67F-A62EFF666E3E}">
          <x14:id>{10495BE0-6B88-4F78-A23A-7D1E06B97285}</x14:id>
        </ext>
      </extLst>
    </cfRule>
    <cfRule type="dataBar" priority="5">
      <dataBar>
        <cfvo type="percent" val="0"/>
        <cfvo type="percent" val="100"/>
        <color rgb="FF638EC6"/>
      </dataBar>
      <extLst>
        <ext xmlns:x14="http://schemas.microsoft.com/office/spreadsheetml/2009/9/main" uri="{B025F937-C7B1-47D3-B67F-A62EFF666E3E}">
          <x14:id>{47F3615F-960E-4AE2-A8B6-08B7CFF1F7D8}</x14:id>
        </ext>
      </extLst>
    </cfRule>
    <cfRule type="dataBar" priority="6">
      <dataBar>
        <cfvo type="min"/>
        <cfvo type="max"/>
        <color rgb="FF638EC6"/>
      </dataBar>
      <extLst>
        <ext xmlns:x14="http://schemas.microsoft.com/office/spreadsheetml/2009/9/main" uri="{B025F937-C7B1-47D3-B67F-A62EFF666E3E}">
          <x14:id>{6909DD4C-E871-4F30-A8B5-07AA4CAFD39C}</x14:id>
        </ext>
      </extLst>
    </cfRule>
  </conditionalFormatting>
  <conditionalFormatting sqref="B15">
    <cfRule type="duplicateValues" dxfId="21" priority="1"/>
    <cfRule type="duplicateValues" dxfId="20" priority="2"/>
  </conditionalFormatting>
  <dataValidations count="1">
    <dataValidation type="list" allowBlank="1" showInputMessage="1" showErrorMessage="1" sqref="G10:G16 F6:F9 F29 F31:F1048576" xr:uid="{3E46F103-6A81-428B-B3C1-F180CDE0BC4C}">
      <formula1>"Identified,Pending,Corrected,Excluded"</formula1>
    </dataValidation>
  </dataValidations>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09FBDB33-7CC7-4F78-88E2-3A49A8DF5621}">
            <x14:dataBar minLength="0" maxLength="100" gradient="0">
              <x14:cfvo type="percent">
                <xm:f>0</xm:f>
              </x14:cfvo>
              <x14:cfvo type="percent">
                <xm:f>100</xm:f>
              </x14:cfvo>
              <x14:negativeFillColor rgb="FFFF0000"/>
              <x14:axisColor rgb="FF000000"/>
            </x14:dataBar>
          </x14:cfRule>
          <x14:cfRule type="dataBar" id="{10495BE0-6B88-4F78-A23A-7D1E06B97285}">
            <x14:dataBar minLength="0" maxLength="100" gradient="0">
              <x14:cfvo type="autoMin"/>
              <x14:cfvo type="autoMax"/>
              <x14:negativeFillColor rgb="FFFF0000"/>
              <x14:axisColor rgb="FF000000"/>
            </x14:dataBar>
          </x14:cfRule>
          <x14:cfRule type="dataBar" id="{47F3615F-960E-4AE2-A8B6-08B7CFF1F7D8}">
            <x14:dataBar minLength="0" maxLength="100" gradient="0">
              <x14:cfvo type="percent">
                <xm:f>0</xm:f>
              </x14:cfvo>
              <x14:cfvo type="percent">
                <xm:f>100</xm:f>
              </x14:cfvo>
              <x14:negativeFillColor rgb="FFFF0000"/>
              <x14:axisColor rgb="FF000000"/>
            </x14:dataBar>
          </x14:cfRule>
          <x14:cfRule type="dataBar" id="{6909DD4C-E871-4F30-A8B5-07AA4CAFD39C}">
            <x14:dataBar minLength="0" maxLength="100" gradient="0">
              <x14:cfvo type="autoMin"/>
              <x14:cfvo type="autoMax"/>
              <x14:negativeFillColor rgb="FFFF0000"/>
              <x14:axisColor rgb="FF000000"/>
            </x14:dataBar>
          </x14:cfRule>
          <xm:sqref>H5</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2E72F5-F71D-4944-B4BB-F1BF57D88B78}">
  <dimension ref="B1:N24"/>
  <sheetViews>
    <sheetView tabSelected="1" zoomScaleNormal="100" workbookViewId="0">
      <selection activeCell="M19" sqref="M19"/>
    </sheetView>
  </sheetViews>
  <sheetFormatPr defaultRowHeight="13.5" x14ac:dyDescent="0.25"/>
  <cols>
    <col min="1" max="1" width="12.42578125" customWidth="1"/>
    <col min="2" max="2" width="11.85546875" bestFit="1" customWidth="1"/>
    <col min="3" max="3" width="16.140625" customWidth="1"/>
    <col min="4" max="4" width="20" bestFit="1" customWidth="1"/>
    <col min="5" max="5" width="18.140625" customWidth="1"/>
    <col min="6" max="6" width="11.7109375" bestFit="1" customWidth="1"/>
    <col min="7" max="7" width="20" bestFit="1" customWidth="1"/>
    <col min="8" max="8" width="19.7109375" bestFit="1" customWidth="1"/>
    <col min="9" max="9" width="11.7109375" bestFit="1" customWidth="1"/>
    <col min="10" max="10" width="20" bestFit="1" customWidth="1"/>
    <col min="14" max="14" width="12" bestFit="1" customWidth="1"/>
  </cols>
  <sheetData>
    <row r="1" spans="2:14" ht="14.25" thickBot="1" x14ac:dyDescent="0.3"/>
    <row r="2" spans="2:14" ht="34.5" x14ac:dyDescent="0.55000000000000004">
      <c r="B2" s="46" t="s">
        <v>303</v>
      </c>
      <c r="C2" s="47"/>
      <c r="D2" s="47"/>
      <c r="E2" s="47"/>
      <c r="F2" s="47"/>
      <c r="G2" s="47"/>
      <c r="H2" s="47"/>
      <c r="I2" s="48"/>
    </row>
    <row r="3" spans="2:14" x14ac:dyDescent="0.25">
      <c r="B3" s="49"/>
      <c r="C3" s="50"/>
      <c r="D3" s="50"/>
      <c r="E3" s="50"/>
      <c r="F3" s="50"/>
      <c r="G3" s="50"/>
      <c r="H3" s="50"/>
      <c r="I3" s="51"/>
    </row>
    <row r="4" spans="2:14" ht="18.75" x14ac:dyDescent="0.3">
      <c r="B4" s="52" t="s">
        <v>304</v>
      </c>
      <c r="C4" s="53"/>
      <c r="D4" s="53" t="s">
        <v>305</v>
      </c>
      <c r="E4" s="53"/>
      <c r="F4" s="53" t="s">
        <v>306</v>
      </c>
      <c r="G4" s="53"/>
      <c r="H4" s="53" t="s">
        <v>307</v>
      </c>
      <c r="I4" s="54"/>
    </row>
    <row r="5" spans="2:14" ht="31.5" x14ac:dyDescent="0.5">
      <c r="B5" s="55">
        <f>SUM(tblSalesClean[Gross_Revenue_ZAR])</f>
        <v>3046640</v>
      </c>
      <c r="C5" s="56"/>
      <c r="D5" s="56">
        <f>SUMIFS(tblSalesClean[Net_Revenue_ZAR],tblSalesClean[Data_Quality_Status],"Complete")</f>
        <v>2872375.5</v>
      </c>
      <c r="E5" s="56"/>
      <c r="F5" s="56">
        <f>SUMIFS(tblSalesClean[Gross_Profit_ZAR],tblSalesClean[Data_Quality_Status],"Complete")</f>
        <v>730755.5</v>
      </c>
      <c r="G5" s="56"/>
      <c r="H5" s="57">
        <f>IFERROR(F5/D5,0)</f>
        <v>0.25440806746889466</v>
      </c>
      <c r="I5" s="58"/>
      <c r="N5" s="31"/>
    </row>
    <row r="6" spans="2:14" x14ac:dyDescent="0.25">
      <c r="B6" s="49"/>
      <c r="C6" s="50"/>
      <c r="D6" s="50"/>
      <c r="E6" s="50"/>
      <c r="F6" s="50"/>
      <c r="G6" s="50"/>
      <c r="H6" s="50"/>
      <c r="I6" s="51"/>
    </row>
    <row r="7" spans="2:14" ht="14.25" thickBot="1" x14ac:dyDescent="0.3">
      <c r="B7" s="59"/>
      <c r="C7" s="60"/>
      <c r="D7" s="60"/>
      <c r="E7" s="60"/>
      <c r="F7" s="60"/>
      <c r="G7" s="60"/>
      <c r="H7" s="60"/>
      <c r="I7" s="61"/>
    </row>
    <row r="10" spans="2:14" x14ac:dyDescent="0.25">
      <c r="C10" s="32" t="s">
        <v>308</v>
      </c>
      <c r="D10" t="s">
        <v>310</v>
      </c>
      <c r="F10" s="32" t="s">
        <v>308</v>
      </c>
      <c r="G10" t="s">
        <v>310</v>
      </c>
      <c r="I10" s="32" t="s">
        <v>308</v>
      </c>
      <c r="J10" t="s">
        <v>310</v>
      </c>
    </row>
    <row r="11" spans="2:14" x14ac:dyDescent="0.25">
      <c r="C11" s="33" t="s">
        <v>21</v>
      </c>
      <c r="D11" s="35">
        <v>424991.5</v>
      </c>
      <c r="F11" s="33" t="s">
        <v>44</v>
      </c>
      <c r="G11" s="35">
        <v>95370</v>
      </c>
      <c r="I11" s="33" t="s">
        <v>323</v>
      </c>
      <c r="J11" s="31">
        <v>2872375.5</v>
      </c>
    </row>
    <row r="12" spans="2:14" x14ac:dyDescent="0.25">
      <c r="C12" s="33" t="s">
        <v>27</v>
      </c>
      <c r="D12" s="35">
        <v>669760.5</v>
      </c>
      <c r="F12" s="33" t="s">
        <v>14</v>
      </c>
      <c r="G12" s="35">
        <v>189630</v>
      </c>
      <c r="I12" s="34" t="s">
        <v>311</v>
      </c>
      <c r="J12" s="31">
        <v>225712.5</v>
      </c>
    </row>
    <row r="13" spans="2:14" x14ac:dyDescent="0.25">
      <c r="C13" s="33" t="s">
        <v>17</v>
      </c>
      <c r="D13" s="35">
        <v>843688.5</v>
      </c>
      <c r="F13" s="33" t="s">
        <v>63</v>
      </c>
      <c r="G13" s="35">
        <v>33618</v>
      </c>
      <c r="I13" s="34" t="s">
        <v>312</v>
      </c>
      <c r="J13" s="31">
        <v>335461.5</v>
      </c>
    </row>
    <row r="14" spans="2:14" x14ac:dyDescent="0.25">
      <c r="C14" s="33" t="s">
        <v>10</v>
      </c>
      <c r="D14" s="35">
        <v>933935</v>
      </c>
      <c r="F14" s="33" t="s">
        <v>22</v>
      </c>
      <c r="G14" s="35">
        <v>67015</v>
      </c>
      <c r="I14" s="34" t="s">
        <v>313</v>
      </c>
      <c r="J14" s="31">
        <v>216787.5</v>
      </c>
    </row>
    <row r="15" spans="2:14" x14ac:dyDescent="0.25">
      <c r="C15" s="33" t="s">
        <v>309</v>
      </c>
      <c r="D15" s="35">
        <v>2872375.5</v>
      </c>
      <c r="F15" s="33" t="s">
        <v>18</v>
      </c>
      <c r="G15" s="35">
        <v>1393750</v>
      </c>
      <c r="I15" s="34" t="s">
        <v>314</v>
      </c>
      <c r="J15" s="31">
        <v>189010</v>
      </c>
    </row>
    <row r="16" spans="2:14" x14ac:dyDescent="0.25">
      <c r="F16" s="33" t="s">
        <v>11</v>
      </c>
      <c r="G16" s="35">
        <v>124227.5</v>
      </c>
      <c r="I16" s="34" t="s">
        <v>315</v>
      </c>
      <c r="J16" s="31">
        <v>199460</v>
      </c>
    </row>
    <row r="17" spans="2:10" x14ac:dyDescent="0.25">
      <c r="F17" s="33" t="s">
        <v>25</v>
      </c>
      <c r="G17" s="35">
        <v>330990</v>
      </c>
      <c r="I17" s="34" t="s">
        <v>316</v>
      </c>
      <c r="J17" s="31">
        <v>169700</v>
      </c>
    </row>
    <row r="18" spans="2:10" x14ac:dyDescent="0.25">
      <c r="B18" s="32" t="s">
        <v>308</v>
      </c>
      <c r="C18" t="s">
        <v>310</v>
      </c>
      <c r="D18" t="s">
        <v>324</v>
      </c>
      <c r="F18" s="33" t="s">
        <v>54</v>
      </c>
      <c r="G18" s="35">
        <v>345735</v>
      </c>
      <c r="I18" s="34" t="s">
        <v>317</v>
      </c>
      <c r="J18" s="31">
        <v>221505</v>
      </c>
    </row>
    <row r="19" spans="2:10" x14ac:dyDescent="0.25">
      <c r="B19" s="33" t="s">
        <v>10</v>
      </c>
      <c r="C19" s="35">
        <v>933935</v>
      </c>
      <c r="D19" s="35">
        <v>252035</v>
      </c>
      <c r="F19" s="33" t="s">
        <v>28</v>
      </c>
      <c r="G19" s="35">
        <v>292040</v>
      </c>
      <c r="I19" s="34" t="s">
        <v>318</v>
      </c>
      <c r="J19" s="31">
        <v>288583.5</v>
      </c>
    </row>
    <row r="20" spans="2:10" x14ac:dyDescent="0.25">
      <c r="B20" s="33" t="s">
        <v>17</v>
      </c>
      <c r="C20" s="35">
        <v>843688.5</v>
      </c>
      <c r="D20" s="35">
        <v>212408.5</v>
      </c>
      <c r="F20" s="33" t="s">
        <v>309</v>
      </c>
      <c r="G20" s="35">
        <v>2872375.5</v>
      </c>
      <c r="I20" s="34" t="s">
        <v>319</v>
      </c>
      <c r="J20" s="31">
        <v>180380</v>
      </c>
    </row>
    <row r="21" spans="2:10" x14ac:dyDescent="0.25">
      <c r="B21" s="33" t="s">
        <v>27</v>
      </c>
      <c r="C21" s="35">
        <v>669760.5</v>
      </c>
      <c r="D21" s="35">
        <v>161100.5</v>
      </c>
      <c r="I21" s="34" t="s">
        <v>320</v>
      </c>
      <c r="J21" s="31">
        <v>266916</v>
      </c>
    </row>
    <row r="22" spans="2:10" x14ac:dyDescent="0.25">
      <c r="B22" s="33" t="s">
        <v>21</v>
      </c>
      <c r="C22" s="35">
        <v>424991.5</v>
      </c>
      <c r="D22" s="35">
        <v>105211.5</v>
      </c>
      <c r="I22" s="34" t="s">
        <v>321</v>
      </c>
      <c r="J22" s="31">
        <v>223734</v>
      </c>
    </row>
    <row r="23" spans="2:10" x14ac:dyDescent="0.25">
      <c r="B23" s="33" t="s">
        <v>309</v>
      </c>
      <c r="C23" s="35">
        <v>2872375.5</v>
      </c>
      <c r="D23" s="35">
        <v>730755.5</v>
      </c>
      <c r="I23" s="34" t="s">
        <v>322</v>
      </c>
      <c r="J23" s="31">
        <v>355125.5</v>
      </c>
    </row>
    <row r="24" spans="2:10" x14ac:dyDescent="0.25">
      <c r="I24" s="33" t="s">
        <v>309</v>
      </c>
      <c r="J24" s="31">
        <v>2872375.5</v>
      </c>
    </row>
  </sheetData>
  <mergeCells count="9">
    <mergeCell ref="H4:I4"/>
    <mergeCell ref="H5:I5"/>
    <mergeCell ref="B2:I2"/>
    <mergeCell ref="B5:C5"/>
    <mergeCell ref="B4:C4"/>
    <mergeCell ref="D4:E4"/>
    <mergeCell ref="D5:E5"/>
    <mergeCell ref="F4:G4"/>
    <mergeCell ref="F5:G5"/>
  </mergeCells>
  <pageMargins left="0.7" right="0.7" top="0.75" bottom="0.75" header="0.3" footer="0.3"/>
  <pageSetup paperSize="9" orientation="portrait" r:id="rId5"/>
  <drawing r:id="rId6"/>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2D7977-EFF0-4D5A-8C1E-1346B972BC21}">
  <dimension ref="A1:D20"/>
  <sheetViews>
    <sheetView topLeftCell="A8" workbookViewId="0">
      <selection activeCell="D17" sqref="D17"/>
    </sheetView>
  </sheetViews>
  <sheetFormatPr defaultRowHeight="13.5" x14ac:dyDescent="0.25"/>
  <cols>
    <col min="1" max="1" width="13.7109375" customWidth="1"/>
    <col min="2" max="2" width="23.7109375" customWidth="1"/>
    <col min="3" max="3" width="65.7109375" customWidth="1"/>
    <col min="4" max="4" width="55.7109375" customWidth="1"/>
  </cols>
  <sheetData>
    <row r="1" spans="1:4" ht="31.5" x14ac:dyDescent="0.25">
      <c r="A1" s="39" t="s">
        <v>325</v>
      </c>
      <c r="B1" s="40"/>
      <c r="C1" s="40"/>
      <c r="D1" s="41"/>
    </row>
    <row r="2" spans="1:4" ht="21.75" thickBot="1" x14ac:dyDescent="0.3">
      <c r="A2" s="42" t="s">
        <v>334</v>
      </c>
      <c r="B2" s="43"/>
      <c r="C2" s="43"/>
      <c r="D2" s="44"/>
    </row>
    <row r="3" spans="1:4" x14ac:dyDescent="0.25">
      <c r="A3" s="45"/>
      <c r="B3" s="45"/>
      <c r="C3" s="45"/>
      <c r="D3" s="45"/>
    </row>
    <row r="4" spans="1:4" ht="18.75" x14ac:dyDescent="0.3">
      <c r="A4" s="21" t="s">
        <v>328</v>
      </c>
      <c r="B4" s="21" t="s">
        <v>4</v>
      </c>
      <c r="C4" s="21" t="s">
        <v>326</v>
      </c>
      <c r="D4" s="21" t="s">
        <v>327</v>
      </c>
    </row>
    <row r="5" spans="1:4" ht="78.75" x14ac:dyDescent="0.25">
      <c r="A5" s="22">
        <v>1</v>
      </c>
      <c r="B5" s="22" t="s">
        <v>329</v>
      </c>
      <c r="C5" s="89" t="s">
        <v>335</v>
      </c>
      <c r="D5" s="89" t="s">
        <v>336</v>
      </c>
    </row>
    <row r="6" spans="1:4" ht="78.75" x14ac:dyDescent="0.25">
      <c r="A6" s="22">
        <v>2</v>
      </c>
      <c r="B6" s="22" t="s">
        <v>330</v>
      </c>
      <c r="C6" s="89" t="s">
        <v>338</v>
      </c>
      <c r="D6" s="89" t="s">
        <v>337</v>
      </c>
    </row>
    <row r="7" spans="1:4" ht="94.5" x14ac:dyDescent="0.25">
      <c r="A7" s="22">
        <v>3</v>
      </c>
      <c r="B7" s="22" t="s">
        <v>331</v>
      </c>
      <c r="C7" s="89" t="s">
        <v>339</v>
      </c>
      <c r="D7" s="89" t="s">
        <v>340</v>
      </c>
    </row>
    <row r="8" spans="1:4" ht="63" x14ac:dyDescent="0.25">
      <c r="A8" s="22">
        <v>4</v>
      </c>
      <c r="B8" s="22" t="s">
        <v>332</v>
      </c>
      <c r="C8" s="89" t="s">
        <v>341</v>
      </c>
      <c r="D8" s="89" t="s">
        <v>342</v>
      </c>
    </row>
    <row r="9" spans="1:4" ht="94.5" x14ac:dyDescent="0.25">
      <c r="A9" s="22">
        <v>5</v>
      </c>
      <c r="B9" s="22" t="s">
        <v>333</v>
      </c>
      <c r="C9" s="89" t="s">
        <v>343</v>
      </c>
      <c r="D9" s="89" t="s">
        <v>344</v>
      </c>
    </row>
    <row r="10" spans="1:4" ht="16.5" thickBot="1" x14ac:dyDescent="0.3">
      <c r="A10" s="20"/>
      <c r="B10" s="20"/>
      <c r="C10" s="20"/>
      <c r="D10" s="20"/>
    </row>
    <row r="11" spans="1:4" ht="24.75" thickBot="1" x14ac:dyDescent="0.45">
      <c r="A11" s="90" t="s">
        <v>345</v>
      </c>
      <c r="B11" s="91"/>
      <c r="C11" s="91"/>
      <c r="D11" s="92"/>
    </row>
    <row r="12" spans="1:4" ht="15.75" customHeight="1" x14ac:dyDescent="0.25">
      <c r="A12" s="95" t="s">
        <v>346</v>
      </c>
      <c r="B12" s="93"/>
      <c r="C12" s="93"/>
      <c r="D12" s="96"/>
    </row>
    <row r="13" spans="1:4" ht="15.75" customHeight="1" x14ac:dyDescent="0.25">
      <c r="A13" s="97"/>
      <c r="B13" s="94"/>
      <c r="C13" s="94"/>
      <c r="D13" s="98"/>
    </row>
    <row r="14" spans="1:4" ht="15.75" customHeight="1" x14ac:dyDescent="0.25">
      <c r="A14" s="99" t="s">
        <v>347</v>
      </c>
      <c r="B14" s="100"/>
      <c r="C14" s="100"/>
      <c r="D14" s="101"/>
    </row>
    <row r="15" spans="1:4" ht="15.75" customHeight="1" thickBot="1" x14ac:dyDescent="0.3">
      <c r="A15" s="102"/>
      <c r="B15" s="103"/>
      <c r="C15" s="103"/>
      <c r="D15" s="104"/>
    </row>
    <row r="16" spans="1:4" ht="15.75" x14ac:dyDescent="0.25">
      <c r="A16" s="20"/>
      <c r="B16" s="20"/>
      <c r="C16" s="20"/>
      <c r="D16" s="20"/>
    </row>
    <row r="17" spans="1:4" ht="15.75" x14ac:dyDescent="0.25">
      <c r="A17" s="20"/>
      <c r="B17" s="20"/>
      <c r="C17" s="20"/>
      <c r="D17" s="20"/>
    </row>
    <row r="18" spans="1:4" ht="15.75" x14ac:dyDescent="0.25">
      <c r="A18" s="20"/>
      <c r="B18" s="20"/>
      <c r="C18" s="20"/>
      <c r="D18" s="20"/>
    </row>
    <row r="19" spans="1:4" ht="15.75" x14ac:dyDescent="0.25">
      <c r="A19" s="20"/>
      <c r="B19" s="20"/>
      <c r="C19" s="20"/>
      <c r="D19" s="20"/>
    </row>
    <row r="20" spans="1:4" ht="15.75" x14ac:dyDescent="0.25">
      <c r="A20" s="20"/>
      <c r="B20" s="20"/>
      <c r="C20" s="20"/>
      <c r="D20" s="20"/>
    </row>
  </sheetData>
  <mergeCells count="5">
    <mergeCell ref="A14:D15"/>
    <mergeCell ref="A1:D1"/>
    <mergeCell ref="A2:D2"/>
    <mergeCell ref="A11:D11"/>
    <mergeCell ref="A12:D13"/>
  </mergeCell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 Sales Data</vt:lpstr>
      <vt:lpstr>Cleaned Sales Data</vt:lpstr>
      <vt:lpstr>Cleaning Log</vt:lpstr>
      <vt:lpstr>Sales Analysis</vt:lpstr>
      <vt:lpstr>Key Findings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MICHAEL SEBASTIAN MYNHARDT</cp:lastModifiedBy>
  <dcterms:created xsi:type="dcterms:W3CDTF">2026-10-21T19:42:31Z</dcterms:created>
  <dcterms:modified xsi:type="dcterms:W3CDTF">2026-10-21T19:56:36Z</dcterms:modified>
</cp:coreProperties>
</file>